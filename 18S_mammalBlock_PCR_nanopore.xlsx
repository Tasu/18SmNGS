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tatsuki/Downloads/"/>
    </mc:Choice>
  </mc:AlternateContent>
  <xr:revisionPtr revIDLastSave="0" documentId="13_ncr:1_{29A1D115-1C98-2640-BB1A-F907CC572D36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PCR" sheetId="1" r:id="rId1"/>
    <sheet name="Nanopore" sheetId="2" r:id="rId2"/>
    <sheet name="post sequence 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2" l="1"/>
  <c r="J19" i="1"/>
  <c r="J25" i="1"/>
  <c r="J24" i="1"/>
  <c r="J23" i="1"/>
  <c r="J22" i="1"/>
  <c r="J21" i="1"/>
  <c r="J20" i="1"/>
  <c r="C68" i="1"/>
  <c r="D63" i="1"/>
  <c r="D62" i="1"/>
  <c r="D61" i="1"/>
  <c r="D60" i="1"/>
  <c r="D59" i="1"/>
  <c r="D58" i="1"/>
  <c r="I63" i="1"/>
  <c r="H63" i="1"/>
  <c r="G63" i="1"/>
  <c r="F63" i="1"/>
  <c r="E63" i="1"/>
  <c r="I62" i="1"/>
  <c r="H62" i="1"/>
  <c r="G62" i="1"/>
  <c r="F62" i="1"/>
  <c r="E62" i="1"/>
  <c r="I61" i="1"/>
  <c r="H61" i="1"/>
  <c r="G61" i="1"/>
  <c r="F61" i="1"/>
  <c r="E61" i="1"/>
  <c r="I60" i="1"/>
  <c r="H60" i="1"/>
  <c r="G60" i="1"/>
  <c r="F60" i="1"/>
  <c r="E60" i="1"/>
  <c r="I59" i="1"/>
  <c r="H59" i="1"/>
  <c r="G59" i="1"/>
  <c r="F59" i="1"/>
  <c r="E59" i="1"/>
  <c r="I58" i="1"/>
  <c r="H58" i="1"/>
  <c r="G58" i="1"/>
  <c r="F58" i="1"/>
  <c r="E58" i="1"/>
  <c r="D25" i="1"/>
  <c r="D24" i="1"/>
  <c r="D23" i="1"/>
  <c r="D22" i="1"/>
  <c r="D21" i="1"/>
  <c r="D20" i="1"/>
  <c r="D19" i="1"/>
  <c r="E20" i="1"/>
  <c r="F20" i="1"/>
  <c r="G20" i="1"/>
  <c r="H20" i="1"/>
  <c r="I20" i="1"/>
  <c r="E21" i="1"/>
  <c r="F21" i="1"/>
  <c r="G21" i="1"/>
  <c r="H21" i="1"/>
  <c r="I21" i="1"/>
  <c r="E22" i="1"/>
  <c r="F22" i="1"/>
  <c r="G22" i="1"/>
  <c r="H22" i="1"/>
  <c r="I22" i="1"/>
  <c r="E23" i="1"/>
  <c r="F23" i="1"/>
  <c r="G23" i="1"/>
  <c r="H23" i="1"/>
  <c r="I23" i="1"/>
  <c r="E24" i="1"/>
  <c r="F24" i="1"/>
  <c r="G24" i="1"/>
  <c r="H24" i="1"/>
  <c r="I24" i="1"/>
  <c r="E25" i="1"/>
  <c r="F25" i="1"/>
  <c r="G25" i="1"/>
  <c r="H25" i="1"/>
  <c r="I25" i="1"/>
  <c r="F19" i="1"/>
  <c r="G19" i="1"/>
  <c r="H19" i="1"/>
  <c r="I19" i="1"/>
  <c r="E19" i="1"/>
  <c r="C29" i="1"/>
</calcChain>
</file>

<file path=xl/sharedStrings.xml><?xml version="1.0" encoding="utf-8"?>
<sst xmlns="http://schemas.openxmlformats.org/spreadsheetml/2006/main" count="341" uniqueCount="249">
  <si>
    <t>Date</t>
    <phoneticPr fontId="1"/>
  </si>
  <si>
    <t>samples</t>
    <phoneticPr fontId="1"/>
  </si>
  <si>
    <t>Reagents</t>
    <phoneticPr fontId="1"/>
  </si>
  <si>
    <t>PCR reaction</t>
    <phoneticPr fontId="1"/>
  </si>
  <si>
    <t>2xAmpDirect</t>
    <phoneticPr fontId="1"/>
  </si>
  <si>
    <t>KAPA taq</t>
    <phoneticPr fontId="1"/>
  </si>
  <si>
    <t>5uM F566</t>
    <phoneticPr fontId="1"/>
  </si>
  <si>
    <t>5uM 1774R</t>
    <phoneticPr fontId="1"/>
  </si>
  <si>
    <t>20uM B_MammalBlock</t>
    <phoneticPr fontId="1"/>
  </si>
  <si>
    <t>50uM PNA</t>
    <phoneticPr fontId="1"/>
  </si>
  <si>
    <t>x10 dye</t>
    <phoneticPr fontId="1"/>
  </si>
  <si>
    <t>template</t>
    <phoneticPr fontId="1"/>
  </si>
  <si>
    <t>total</t>
    <phoneticPr fontId="1"/>
  </si>
  <si>
    <t>vol/rxn</t>
    <phoneticPr fontId="1"/>
  </si>
  <si>
    <t>reaction number</t>
    <phoneticPr fontId="1"/>
  </si>
  <si>
    <t>Thermal Cycles</t>
    <phoneticPr fontId="1"/>
  </si>
  <si>
    <t>95℃</t>
    <phoneticPr fontId="1"/>
  </si>
  <si>
    <t>3min</t>
    <phoneticPr fontId="1"/>
  </si>
  <si>
    <t>1st denature</t>
    <phoneticPr fontId="1"/>
  </si>
  <si>
    <t>90sec</t>
    <phoneticPr fontId="1"/>
  </si>
  <si>
    <t>98℃</t>
    <phoneticPr fontId="1"/>
  </si>
  <si>
    <t>75℃</t>
    <phoneticPr fontId="1"/>
  </si>
  <si>
    <t>63℃</t>
    <phoneticPr fontId="1"/>
  </si>
  <si>
    <t>55℃</t>
    <phoneticPr fontId="1"/>
  </si>
  <si>
    <t>72℃</t>
    <phoneticPr fontId="1"/>
  </si>
  <si>
    <t>15sec</t>
    <phoneticPr fontId="1"/>
  </si>
  <si>
    <t>20sec</t>
    <phoneticPr fontId="1"/>
  </si>
  <si>
    <t>denature</t>
    <phoneticPr fontId="1"/>
  </si>
  <si>
    <t>PNA annealing</t>
    <phoneticPr fontId="1"/>
  </si>
  <si>
    <t>blocking primer annealing</t>
    <phoneticPr fontId="1"/>
  </si>
  <si>
    <t>universal primer annealing</t>
    <phoneticPr fontId="1"/>
  </si>
  <si>
    <t>extension, 1.2-1.6kbp</t>
    <phoneticPr fontId="1"/>
  </si>
  <si>
    <t>35 cycle</t>
    <phoneticPr fontId="1"/>
  </si>
  <si>
    <t>final extension</t>
    <phoneticPr fontId="1"/>
  </si>
  <si>
    <t>Gel electrophoresis, 2ul / lane</t>
    <phoneticPr fontId="1"/>
  </si>
  <si>
    <t>index PCR (optional) Every 50 samples can be included in the one index PCR run.</t>
    <phoneticPr fontId="1"/>
  </si>
  <si>
    <t>F1</t>
    <phoneticPr fontId="1"/>
  </si>
  <si>
    <t>F2</t>
  </si>
  <si>
    <t>F3</t>
  </si>
  <si>
    <t>F4</t>
  </si>
  <si>
    <t>F5</t>
  </si>
  <si>
    <t>F6</t>
  </si>
  <si>
    <t>F7</t>
  </si>
  <si>
    <t>F8</t>
  </si>
  <si>
    <t>R1</t>
    <phoneticPr fontId="1"/>
  </si>
  <si>
    <t>R2</t>
  </si>
  <si>
    <t>R3</t>
  </si>
  <si>
    <t>R4</t>
  </si>
  <si>
    <t>R5</t>
  </si>
  <si>
    <t>R6</t>
  </si>
  <si>
    <t>R7</t>
  </si>
  <si>
    <t>R8</t>
  </si>
  <si>
    <t>x</t>
    <phoneticPr fontId="1"/>
  </si>
  <si>
    <t>x=negative control</t>
    <phoneticPr fontId="1"/>
  </si>
  <si>
    <t>index primer combination</t>
    <phoneticPr fontId="1"/>
  </si>
  <si>
    <t>5uM index F566</t>
    <phoneticPr fontId="1"/>
  </si>
  <si>
    <t>5uM index 1774R</t>
    <phoneticPr fontId="1"/>
  </si>
  <si>
    <t>dDW</t>
    <phoneticPr fontId="1"/>
  </si>
  <si>
    <t>■positive bands in single index PCR run --&gt; pooled in one tube with approximately DNA amount (based on the band intensity)</t>
    <phoneticPr fontId="1"/>
  </si>
  <si>
    <t>~20uL pooled samples will be purified by 0.8x AmpureXP, used for Nanopore sequencing library prep.</t>
    <phoneticPr fontId="1"/>
  </si>
  <si>
    <t>if the positive samples exceeds 50, different pool of index PCR will be barcoded with different barcodes.</t>
    <phoneticPr fontId="1"/>
  </si>
  <si>
    <t xml:space="preserve">Same thermal cycle will be used though mammal blocking primers are not included in the index pcr </t>
    <phoneticPr fontId="1"/>
  </si>
  <si>
    <t>*KAPA taq extra*</t>
    <phoneticPr fontId="1"/>
  </si>
  <si>
    <t>KAPA-taq extra can be replaced with the other taq polymerase (Go-taq G2 HS, Takara Ex-taq HS, PlatinumII taq HS)</t>
    <phoneticPr fontId="1"/>
  </si>
  <si>
    <t>If you replace KAPA taq extra to Bio-taq HS, you should change the 1st denature cycles to 95 degC 10min.</t>
    <phoneticPr fontId="1"/>
  </si>
  <si>
    <t>Optional for large scale screening,</t>
    <phoneticPr fontId="1"/>
  </si>
  <si>
    <t>■ positive bands LESS than 32 --&gt; 0.8x AmpureXP purification, Nanopore sequencing library prep with native barcoding kit</t>
    <phoneticPr fontId="1"/>
  </si>
  <si>
    <t>■ positive bands MORE than 32 --&gt; dilute 1st PCR amplicon x50 by dDW. Index PCR to attach index sequence.</t>
    <phoneticPr fontId="1"/>
  </si>
  <si>
    <t>Name</t>
    <phoneticPr fontId="1"/>
  </si>
  <si>
    <t>18S mammal Block post PCR sequencing</t>
    <phoneticPr fontId="1"/>
  </si>
  <si>
    <t>https://nanoporetech.com/document/ligation-sequencing-amplicons-native-barcoding-v14-sqk-nbd114-96</t>
  </si>
  <si>
    <t>NBA_9170_v114_revR_03Oct2025</t>
    <phoneticPr fontId="1"/>
  </si>
  <si>
    <t>Ampure XP</t>
    <phoneticPr fontId="1"/>
  </si>
  <si>
    <t>Customized protocol</t>
    <phoneticPr fontId="1"/>
  </si>
  <si>
    <t>required materials</t>
    <phoneticPr fontId="1"/>
  </si>
  <si>
    <t>85% EtOH</t>
    <phoneticPr fontId="1"/>
  </si>
  <si>
    <t>200uL x sample number + 200uL + additional volume</t>
    <phoneticPr fontId="1"/>
  </si>
  <si>
    <t>Native adapter</t>
    <phoneticPr fontId="1"/>
  </si>
  <si>
    <t>Ampure XP purification of amplicon (x0.8 vol purification to remove short amplicons/primer dimers)</t>
    <phoneticPr fontId="1"/>
  </si>
  <si>
    <t>vol(uL)</t>
    <phoneticPr fontId="1"/>
  </si>
  <si>
    <t>Elution buffer</t>
    <phoneticPr fontId="1"/>
  </si>
  <si>
    <t>PCR product</t>
    <phoneticPr fontId="1"/>
  </si>
  <si>
    <t xml:space="preserve"> (ampure xp shoule be place at room temperature for at least 10min, mix well before use)</t>
    <phoneticPr fontId="1"/>
  </si>
  <si>
    <t>mix by pipetting well, incubate 5min at room temp, place on magnetic rack</t>
    <phoneticPr fontId="1"/>
  </si>
  <si>
    <t>remove sup,</t>
    <phoneticPr fontId="1"/>
  </si>
  <si>
    <t>add 100uL 85% EtOH, beads ppt should be as is.</t>
    <phoneticPr fontId="1"/>
  </si>
  <si>
    <t>dry up</t>
    <phoneticPr fontId="1"/>
  </si>
  <si>
    <t>remove tubes from magnetic racks</t>
    <phoneticPr fontId="1"/>
  </si>
  <si>
    <t>Add 15 uL dDW</t>
    <phoneticPr fontId="1"/>
  </si>
  <si>
    <t>take DNA (sup) to new tube</t>
    <phoneticPr fontId="1"/>
  </si>
  <si>
    <t>Qubit dsDNA measurement</t>
    <phoneticPr fontId="1"/>
  </si>
  <si>
    <t>sample ID</t>
    <phoneticPr fontId="1"/>
  </si>
  <si>
    <t>ng/uL</t>
    <phoneticPr fontId="1"/>
  </si>
  <si>
    <t>Endprep reaction</t>
    <phoneticPr fontId="1"/>
  </si>
  <si>
    <t>Endprep buffer needs to be thawed completely.</t>
    <phoneticPr fontId="1"/>
  </si>
  <si>
    <t>50 fmol purified DNA</t>
    <phoneticPr fontId="1"/>
  </si>
  <si>
    <t>~ 40ng of 1.2kbp</t>
    <phoneticPr fontId="1"/>
  </si>
  <si>
    <t>Endprep buffer</t>
    <phoneticPr fontId="1"/>
  </si>
  <si>
    <t>buffer + enzyme can be prepared as master mix for all the samples.</t>
    <phoneticPr fontId="1"/>
  </si>
  <si>
    <t>Endprep enzyme</t>
    <phoneticPr fontId="1"/>
  </si>
  <si>
    <t>15uL</t>
    <phoneticPr fontId="1"/>
  </si>
  <si>
    <t xml:space="preserve">mix with pipetting on ice, </t>
    <phoneticPr fontId="1"/>
  </si>
  <si>
    <t xml:space="preserve">incubation as follows, </t>
    <phoneticPr fontId="1"/>
  </si>
  <si>
    <t>20℃</t>
    <phoneticPr fontId="1"/>
  </si>
  <si>
    <t>5min</t>
    <phoneticPr fontId="1"/>
  </si>
  <si>
    <t>65℃</t>
    <phoneticPr fontId="1"/>
  </si>
  <si>
    <t>＜10℃</t>
    <phoneticPr fontId="1"/>
  </si>
  <si>
    <t>hold</t>
    <phoneticPr fontId="1"/>
  </si>
  <si>
    <t>optional</t>
    <phoneticPr fontId="1"/>
  </si>
  <si>
    <t>DNA input amount for native barcode ligation is ~ 2ng/sample for 8 multiplexed run.</t>
    <phoneticPr fontId="1"/>
  </si>
  <si>
    <t>around 10~20ng total DNA amount is required after pooling all the barcoded DNA product after next steps.</t>
    <phoneticPr fontId="1"/>
  </si>
  <si>
    <t>please adjuest required DNA amount, depending on the sample number you are working with.</t>
    <phoneticPr fontId="1"/>
  </si>
  <si>
    <t>Native barcode ligation</t>
    <phoneticPr fontId="1"/>
  </si>
  <si>
    <t>DNA amount is (10~20ng / sample number). If you work with 8 samples, 2ng/sample is sufficient.</t>
    <phoneticPr fontId="1"/>
  </si>
  <si>
    <t>Endpreped DNA + DW</t>
    <phoneticPr fontId="1"/>
  </si>
  <si>
    <t xml:space="preserve">if you skip ampure purification after endprep, 0.75uL rxn + 3.75 uL dDW </t>
    <phoneticPr fontId="1"/>
  </si>
  <si>
    <t>native barcode</t>
    <phoneticPr fontId="1"/>
  </si>
  <si>
    <t>2x Blunt/TA ligation MM</t>
    <phoneticPr fontId="1"/>
  </si>
  <si>
    <t>incubation as follows</t>
    <phoneticPr fontId="1"/>
  </si>
  <si>
    <t>10min</t>
    <phoneticPr fontId="1"/>
  </si>
  <si>
    <t>room temperature 20~30℃ is ok. 5min ~ 30min incubation is ok.</t>
    <phoneticPr fontId="1"/>
  </si>
  <si>
    <t>Add 1uL 0.,5M EDTA to each tube</t>
    <phoneticPr fontId="1"/>
  </si>
  <si>
    <t>mix well</t>
    <phoneticPr fontId="1"/>
  </si>
  <si>
    <t>Pooling and Ampure purification</t>
    <phoneticPr fontId="1"/>
  </si>
  <si>
    <t>pool all the barcode ligated product in one tube.</t>
    <phoneticPr fontId="1"/>
  </si>
  <si>
    <t>for 8 samples</t>
    <phoneticPr fontId="1"/>
  </si>
  <si>
    <t>pooled samples</t>
    <phoneticPr fontId="1"/>
  </si>
  <si>
    <t>x1.2</t>
    <phoneticPr fontId="1"/>
  </si>
  <si>
    <t>After the first purification, we just use x1.2 AmpureXP, to increase the recovery efficiency.</t>
    <phoneticPr fontId="1"/>
  </si>
  <si>
    <t>Add 12 uL dDW</t>
    <phoneticPr fontId="1"/>
  </si>
  <si>
    <t>Sequencing Adapter ligation</t>
    <phoneticPr fontId="1"/>
  </si>
  <si>
    <t>Purified barcode ligated DNA</t>
    <phoneticPr fontId="1"/>
  </si>
  <si>
    <t>different from the original protocol</t>
    <phoneticPr fontId="1"/>
  </si>
  <si>
    <t>Preparation for next step</t>
    <phoneticPr fontId="1"/>
  </si>
  <si>
    <t xml:space="preserve">Thaw following items, </t>
    <phoneticPr fontId="1"/>
  </si>
  <si>
    <t>Short fragment washing buffer (long fragment washing buffer if required)</t>
    <phoneticPr fontId="1"/>
  </si>
  <si>
    <t>flow cell flush buffer</t>
    <phoneticPr fontId="1"/>
  </si>
  <si>
    <t>flow cell tether</t>
    <phoneticPr fontId="1"/>
  </si>
  <si>
    <t>sequencing buffer</t>
    <phoneticPr fontId="1"/>
  </si>
  <si>
    <t>library beads</t>
    <phoneticPr fontId="1"/>
  </si>
  <si>
    <t>Take flongle flow cell from 4℃.</t>
    <phoneticPr fontId="1"/>
  </si>
  <si>
    <t>incubate for &gt; 10 min at room temp before open the package.</t>
    <phoneticPr fontId="1"/>
  </si>
  <si>
    <t>Setup MinION + flongle adapter</t>
    <phoneticPr fontId="1"/>
  </si>
  <si>
    <t>(if windows is used, please restart windows to make sure the MinKNOW is restarted properly.)</t>
    <phoneticPr fontId="1"/>
  </si>
  <si>
    <t>check the available pores of the flowcell.</t>
    <phoneticPr fontId="1"/>
  </si>
  <si>
    <t>plug-in MinION, put Flongle adapter in it, put flowcell in it.</t>
    <phoneticPr fontId="1"/>
  </si>
  <si>
    <t>MinKNOW -&gt; flowcell QC</t>
    <phoneticPr fontId="1"/>
  </si>
  <si>
    <t>flowcell id</t>
    <phoneticPr fontId="1"/>
  </si>
  <si>
    <t>[printed on flowcell]</t>
    <phoneticPr fontId="1"/>
  </si>
  <si>
    <t>available pores</t>
    <phoneticPr fontId="1"/>
  </si>
  <si>
    <t>Ampure enrichment of adapter ligated nanopore library</t>
    <phoneticPr fontId="1"/>
  </si>
  <si>
    <t>adapter ligated DNA</t>
    <phoneticPr fontId="1"/>
  </si>
  <si>
    <t>take tubes out from magnetic rack, add 70uL short fragment washing buffer, mix gently, place tubes at magnetic rack</t>
    <phoneticPr fontId="1"/>
  </si>
  <si>
    <t>Instead of 100% Short Fragment washing buffer, we can use mixture of LFB:SFB = 2:1</t>
    <phoneticPr fontId="1"/>
  </si>
  <si>
    <r>
      <t xml:space="preserve">Add 12 uL </t>
    </r>
    <r>
      <rPr>
        <sz val="11"/>
        <color rgb="FFFF0000"/>
        <rFont val="Calibri"/>
        <family val="3"/>
        <charset val="128"/>
        <scheme val="minor"/>
      </rPr>
      <t>elution buffer</t>
    </r>
    <phoneticPr fontId="1"/>
  </si>
  <si>
    <t>resuspend beads by pipetting gently</t>
    <phoneticPr fontId="1"/>
  </si>
  <si>
    <t>incubate at 37degC 10min</t>
    <phoneticPr fontId="1"/>
  </si>
  <si>
    <t>resuspend beads by pipetting gently completely</t>
    <phoneticPr fontId="1"/>
  </si>
  <si>
    <t>put tubes at magnetic rack</t>
    <phoneticPr fontId="1"/>
  </si>
  <si>
    <t>transfer eluted DNA library to new tube</t>
    <phoneticPr fontId="1"/>
  </si>
  <si>
    <t xml:space="preserve">use 1uL for dsDNA concentration measurement by Qubit </t>
    <phoneticPr fontId="1"/>
  </si>
  <si>
    <t>Qubit dsDNA HS</t>
    <phoneticPr fontId="1"/>
  </si>
  <si>
    <t>_____ ng/uL</t>
    <phoneticPr fontId="1"/>
  </si>
  <si>
    <t>use upto 20fmol DNA for flongle sequencing</t>
    <phoneticPr fontId="1"/>
  </si>
  <si>
    <t>(~16ng for 1.2kbp amplicons)</t>
    <phoneticPr fontId="1"/>
  </si>
  <si>
    <t>Sequencing with Flongle flowcells</t>
    <phoneticPr fontId="1"/>
  </si>
  <si>
    <t>priming solution</t>
    <phoneticPr fontId="1"/>
  </si>
  <si>
    <t>Flowcell flush buffer</t>
    <phoneticPr fontId="1"/>
  </si>
  <si>
    <t>97.5uL</t>
    <phoneticPr fontId="1"/>
  </si>
  <si>
    <t>Flowcell Tether</t>
    <phoneticPr fontId="1"/>
  </si>
  <si>
    <t>2.5uL</t>
    <phoneticPr fontId="1"/>
  </si>
  <si>
    <t>100uL</t>
    <phoneticPr fontId="1"/>
  </si>
  <si>
    <t>library solution</t>
    <phoneticPr fontId="1"/>
  </si>
  <si>
    <t>10uL</t>
    <phoneticPr fontId="1"/>
  </si>
  <si>
    <t>adapter ligated DNA　+　elution buffer</t>
    <phoneticPr fontId="1"/>
  </si>
  <si>
    <t>5uL</t>
    <phoneticPr fontId="1"/>
  </si>
  <si>
    <t>[ upto 20fmol DNA]</t>
    <phoneticPr fontId="1"/>
  </si>
  <si>
    <t>30uL</t>
    <phoneticPr fontId="1"/>
  </si>
  <si>
    <t>open flongle sample port</t>
    <phoneticPr fontId="1"/>
  </si>
  <si>
    <t>add 100uL priming solution without introducing bubbles in the flowcell (small remaining priming buffer in the tip is ok)</t>
    <phoneticPr fontId="1"/>
  </si>
  <si>
    <t>setup sequencing run</t>
    <phoneticPr fontId="1"/>
  </si>
  <si>
    <t>24h run, if you use GPU available PC, live basecalling can be ON</t>
    <phoneticPr fontId="1"/>
  </si>
  <si>
    <t>live-basecalling will only be used for live-sequencing speed adjustment and glancing the barcoding results.</t>
    <phoneticPr fontId="1"/>
  </si>
  <si>
    <t>basecalling with SUP model is better to be called AFTER sequencing separately.</t>
    <phoneticPr fontId="1"/>
  </si>
  <si>
    <t>add 30uL library solution without introducing bubbles</t>
    <phoneticPr fontId="1"/>
  </si>
  <si>
    <t>[flongle protocol does not have waiting time after applying library solution, but 5-10 min waiting before start is ok]</t>
    <phoneticPr fontId="1"/>
  </si>
  <si>
    <t>start run</t>
    <phoneticPr fontId="1"/>
  </si>
  <si>
    <t>post sequencing analysis</t>
    <phoneticPr fontId="1"/>
  </si>
  <si>
    <t>basecalling</t>
    <phoneticPr fontId="1"/>
  </si>
  <si>
    <t>you need following information for your sequencing run</t>
    <phoneticPr fontId="1"/>
  </si>
  <si>
    <t>seq kit</t>
    <phoneticPr fontId="1"/>
  </si>
  <si>
    <t>SQK-LSK114, SQK-NBD114.96 etc.</t>
    <phoneticPr fontId="1"/>
  </si>
  <si>
    <t>flowcell type</t>
    <phoneticPr fontId="1"/>
  </si>
  <si>
    <t>FLO-FLG114, etc</t>
    <phoneticPr fontId="1"/>
  </si>
  <si>
    <t>SUP with standard GPU card ~ 12GB memory will basecall 200Mbps data in 30min.</t>
    <phoneticPr fontId="1"/>
  </si>
  <si>
    <t>notes</t>
    <phoneticPr fontId="1"/>
  </si>
  <si>
    <t>protocol</t>
    <phoneticPr fontId="1"/>
  </si>
  <si>
    <t>■1st PCR</t>
    <phoneticPr fontId="1"/>
  </si>
  <si>
    <t>■2nd index PCR</t>
    <phoneticPr fontId="1"/>
  </si>
  <si>
    <t>ONT official protocol</t>
    <phoneticPr fontId="1"/>
  </si>
  <si>
    <t>if DNA amount of each sample is less than 40ng input --&gt;  purify endpreped product with x1.2 Ampure, and resuspend into 6uL dDW</t>
    <phoneticPr fontId="1"/>
  </si>
  <si>
    <t>if sample number less than 8,  you can purify endpreped product with x1.2 Ampure, and resuspend into 6uL dDW</t>
    <phoneticPr fontId="1"/>
  </si>
  <si>
    <t>Primer sequence to be removed</t>
    <phoneticPr fontId="1"/>
  </si>
  <si>
    <t>F566</t>
    <phoneticPr fontId="1"/>
  </si>
  <si>
    <t>1774R</t>
    <phoneticPr fontId="1"/>
  </si>
  <si>
    <t>CAGCAGCCGCGGTAATTCC</t>
  </si>
  <si>
    <t>TACRGMWACCTTGTTACGAC</t>
    <phoneticPr fontId="1"/>
  </si>
  <si>
    <t>Basecall</t>
    <phoneticPr fontId="1"/>
  </si>
  <si>
    <t>dorado (minknow basecalling) , sup model, barcode trim off, pass filter = 10</t>
    <phoneticPr fontId="1"/>
  </si>
  <si>
    <t>Trimming</t>
    <phoneticPr fontId="1"/>
  </si>
  <si>
    <t>barcode trimming: porechop, (extra_end_trim -1 to keep the full primer sequence, debarcode again to double make sure the demultiplex)</t>
    <phoneticPr fontId="1"/>
  </si>
  <si>
    <t>primer trimming: cutadapt, above primer sequence from the end of the sequences, sequence without both primer can be discarded.</t>
    <phoneticPr fontId="1"/>
  </si>
  <si>
    <t>quality trimming: seqkit, avarage q value &gt; 12 and length ranges between 1000-1800 will be kept</t>
    <phoneticPr fontId="1"/>
  </si>
  <si>
    <t>Optional</t>
    <phoneticPr fontId="1"/>
  </si>
  <si>
    <t>Quick analysis</t>
    <phoneticPr fontId="1"/>
  </si>
  <si>
    <t>EPI2ME:https://epi2me.nanoporetech.com/downloads/</t>
    <phoneticPr fontId="1"/>
  </si>
  <si>
    <t>Detailed analysis</t>
    <phoneticPr fontId="1"/>
  </si>
  <si>
    <t>Can be run with cleaned seq above, but can be run without cleaning.</t>
    <phoneticPr fontId="1"/>
  </si>
  <si>
    <t>blast to annotate consensus_sequences</t>
    <phoneticPr fontId="1"/>
  </si>
  <si>
    <t>amplicon_sorter to retrieve consensus sequence(like ASV, OTU)from cleaned seq .</t>
    <phoneticPr fontId="1"/>
  </si>
  <si>
    <t>16S rRNA (even if you work with 18S)</t>
    <phoneticPr fontId="1"/>
  </si>
  <si>
    <t>SILVA_138_1</t>
  </si>
  <si>
    <t>workflow parameter</t>
    <phoneticPr fontId="1"/>
  </si>
  <si>
    <t>Key</t>
  </si>
  <si>
    <t>Value</t>
  </si>
  <si>
    <t>fastq</t>
  </si>
  <si>
    <t>/mnt/d/nanoporedata/20240913_UGM_MB_LTM_Bat/basecalling/pass</t>
  </si>
  <si>
    <t>classifier</t>
  </si>
  <si>
    <t>kraken2</t>
  </si>
  <si>
    <t>max_len</t>
  </si>
  <si>
    <t>min_len</t>
  </si>
  <si>
    <t>min_read_qual</t>
  </si>
  <si>
    <t>threads</t>
  </si>
  <si>
    <t>taxonomic_rank</t>
  </si>
  <si>
    <t>database_set</t>
  </si>
  <si>
    <t>kraken2_confidence</t>
  </si>
  <si>
    <t>G</t>
    <phoneticPr fontId="1"/>
  </si>
  <si>
    <t>default 0 score may be too permissive</t>
    <phoneticPr fontId="1"/>
  </si>
  <si>
    <t>18S mammal Block PCR, rev.20251204_public</t>
  </si>
  <si>
    <t>General guidelines for molecular testing : https://www.jccls.org/wp-content/uploads/2022/03/ISO-15189-Application-Guidance-Document-for-Molecular-Genetic-Examination.pdf</t>
  </si>
  <si>
    <t>for now, this test does not have the system to avoid carry over contamination, please follow the general guideline for molecular genetic examination.</t>
  </si>
  <si>
    <t>Replacement of KAPA taq Extra taq to Promega Go-taq G2 Hotstart Taq is tested in house.</t>
  </si>
  <si>
    <t>This protocol is modified from the official protocol for quick preparation. Please validate the sequencing performance beforehand by yourself.</t>
  </si>
  <si>
    <t>This Ampure XP to sample ratio is for selecting &gt; 1kbp universal 18S rDNA amplicon products.</t>
  </si>
  <si>
    <t>barcode number</t>
  </si>
  <si>
    <t>barcodeXX</t>
  </si>
  <si>
    <t>sampleXX</t>
  </si>
  <si>
    <t>alias,barcode</t>
  </si>
  <si>
    <t>copy and paste to sampleSheet.csv, save with UTF-8, alias should not have comma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</si>
</sst>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u/>
      <sz val="11"/>
      <color theme="1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8"/>
      <color rgb="FF212529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0" xfId="0" applyFont="1"/>
    <xf numFmtId="0" fontId="0" fillId="0" borderId="5" xfId="0" applyBorder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Alignment="1">
      <alignment horizontal="right"/>
    </xf>
    <xf numFmtId="0" fontId="2" fillId="4" borderId="0" xfId="0" applyFont="1" applyFill="1"/>
    <xf numFmtId="0" fontId="0" fillId="4" borderId="5" xfId="0" applyFill="1" applyBorder="1"/>
    <xf numFmtId="0" fontId="0" fillId="0" borderId="6" xfId="0" applyBorder="1"/>
    <xf numFmtId="0" fontId="0" fillId="0" borderId="7" xfId="0" applyBorder="1"/>
    <xf numFmtId="0" fontId="4" fillId="0" borderId="0" xfId="0" applyFont="1"/>
    <xf numFmtId="0" fontId="0" fillId="0" borderId="8" xfId="0" applyBorder="1"/>
    <xf numFmtId="0" fontId="0" fillId="0" borderId="6" xfId="0" applyBorder="1" applyAlignment="1">
      <alignment horizontal="right"/>
    </xf>
    <xf numFmtId="0" fontId="4" fillId="0" borderId="7" xfId="0" applyFont="1" applyBorder="1"/>
    <xf numFmtId="0" fontId="0" fillId="0" borderId="7" xfId="0" applyBorder="1" applyAlignment="1">
      <alignment horizontal="right"/>
    </xf>
    <xf numFmtId="0" fontId="6" fillId="0" borderId="0" xfId="0" applyFont="1"/>
    <xf numFmtId="0" fontId="7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0" xfId="0" quotePrefix="1" applyFont="1"/>
    <xf numFmtId="0" fontId="0" fillId="0" borderId="0" xfId="0" quotePrefix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quotePrefix="1" applyBorder="1"/>
    <xf numFmtId="0" fontId="6" fillId="4" borderId="0" xfId="0" applyFont="1" applyFill="1"/>
    <xf numFmtId="0" fontId="8" fillId="5" borderId="0" xfId="1" applyFill="1" applyBorder="1" applyAlignment="1">
      <alignment horizontal="left" wrapText="1"/>
    </xf>
    <xf numFmtId="0" fontId="9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/>
    </xf>
    <xf numFmtId="0" fontId="0" fillId="6" borderId="1" xfId="0" applyFill="1" applyBorder="1"/>
    <xf numFmtId="0" fontId="0" fillId="7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static://localhost/C:/Users/tatsu/epi2melabs/instances/wf-16s_01KAZ64ANH8JS8TA6RF8A4GN5G/output/wf-16s-report.html" TargetMode="External"/><Relationship Id="rId1" Type="http://schemas.openxmlformats.org/officeDocument/2006/relationships/hyperlink" Target="static://localhost/C:/Users/tatsu/epi2melabs/instances/wf-16s_01KAZ64ANH8JS8TA6RF8A4GN5G/output/wf-16s-repo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topLeftCell="A65" zoomScale="130" zoomScaleNormal="130" workbookViewId="0">
      <selection activeCell="D16" sqref="D16"/>
    </sheetView>
  </sheetViews>
  <sheetFormatPr baseColWidth="10" defaultColWidth="8.83203125" defaultRowHeight="15" x14ac:dyDescent="0.2"/>
  <cols>
    <col min="2" max="2" width="22.5" customWidth="1"/>
    <col min="3" max="3" width="8.1640625" customWidth="1"/>
  </cols>
  <sheetData>
    <row r="1" spans="1:12" x14ac:dyDescent="0.2">
      <c r="A1" s="9" t="s">
        <v>238</v>
      </c>
    </row>
    <row r="2" spans="1:12" x14ac:dyDescent="0.2">
      <c r="A2" t="s">
        <v>0</v>
      </c>
    </row>
    <row r="3" spans="1:12" x14ac:dyDescent="0.2">
      <c r="A3" t="s">
        <v>68</v>
      </c>
    </row>
    <row r="4" spans="1:12" x14ac:dyDescent="0.2">
      <c r="A4" t="s">
        <v>1</v>
      </c>
    </row>
    <row r="8" spans="1:12" x14ac:dyDescent="0.2">
      <c r="A8" s="29" t="s">
        <v>195</v>
      </c>
    </row>
    <row r="9" spans="1:12" x14ac:dyDescent="0.2">
      <c r="A9" s="30"/>
      <c r="B9" s="39" t="s">
        <v>239</v>
      </c>
      <c r="C9" s="21"/>
      <c r="D9" s="21"/>
      <c r="E9" s="21"/>
      <c r="F9" s="21"/>
      <c r="G9" s="21"/>
      <c r="H9" s="21"/>
      <c r="I9" s="21"/>
      <c r="J9" s="21"/>
      <c r="K9" s="21"/>
      <c r="L9" s="31"/>
    </row>
    <row r="10" spans="1:12" x14ac:dyDescent="0.2">
      <c r="A10" s="32"/>
      <c r="B10" t="s">
        <v>240</v>
      </c>
      <c r="L10" s="33"/>
    </row>
    <row r="11" spans="1:12" x14ac:dyDescent="0.2">
      <c r="A11" s="32"/>
      <c r="L11" s="33"/>
    </row>
    <row r="12" spans="1:12" x14ac:dyDescent="0.2">
      <c r="A12" s="32"/>
      <c r="B12" t="s">
        <v>63</v>
      </c>
      <c r="L12" s="33"/>
    </row>
    <row r="13" spans="1:12" x14ac:dyDescent="0.2">
      <c r="A13" s="36"/>
      <c r="B13" s="37" t="s">
        <v>64</v>
      </c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5" spans="1:12" x14ac:dyDescent="0.2">
      <c r="A15" s="29" t="s">
        <v>196</v>
      </c>
    </row>
    <row r="16" spans="1:12" x14ac:dyDescent="0.2">
      <c r="A16" s="28" t="s">
        <v>197</v>
      </c>
    </row>
    <row r="17" spans="2:11" x14ac:dyDescent="0.2">
      <c r="B17" s="9" t="s">
        <v>3</v>
      </c>
      <c r="D17" s="46" t="s">
        <v>14</v>
      </c>
      <c r="E17" s="47"/>
      <c r="F17" s="47"/>
      <c r="G17" s="47"/>
      <c r="H17" s="47"/>
      <c r="I17" s="47"/>
      <c r="J17" s="48"/>
    </row>
    <row r="18" spans="2:11" x14ac:dyDescent="0.2">
      <c r="B18" s="6"/>
      <c r="C18" s="6" t="s">
        <v>13</v>
      </c>
      <c r="D18" s="7"/>
      <c r="E18" s="6">
        <v>1</v>
      </c>
      <c r="F18" s="6">
        <v>9</v>
      </c>
      <c r="G18" s="6">
        <v>17</v>
      </c>
      <c r="H18" s="6">
        <v>33</v>
      </c>
      <c r="I18" s="6">
        <v>65</v>
      </c>
      <c r="J18" s="6">
        <v>98</v>
      </c>
    </row>
    <row r="19" spans="2:11" x14ac:dyDescent="0.2">
      <c r="B19" s="5" t="s">
        <v>10</v>
      </c>
      <c r="C19" s="6">
        <v>1.125</v>
      </c>
      <c r="D19" s="8">
        <f t="shared" ref="D19:J25" si="0">$C19*D$18</f>
        <v>0</v>
      </c>
      <c r="E19" s="6">
        <f t="shared" si="0"/>
        <v>1.125</v>
      </c>
      <c r="F19" s="6">
        <f t="shared" si="0"/>
        <v>10.125</v>
      </c>
      <c r="G19" s="6">
        <f t="shared" si="0"/>
        <v>19.125</v>
      </c>
      <c r="H19" s="6">
        <f t="shared" si="0"/>
        <v>37.125</v>
      </c>
      <c r="I19" s="6">
        <f t="shared" si="0"/>
        <v>73.125</v>
      </c>
      <c r="J19" s="6">
        <f t="shared" si="0"/>
        <v>110.25</v>
      </c>
    </row>
    <row r="20" spans="2:11" x14ac:dyDescent="0.2">
      <c r="B20" s="5" t="s">
        <v>4</v>
      </c>
      <c r="C20" s="6">
        <v>7.5</v>
      </c>
      <c r="D20" s="8">
        <f t="shared" si="0"/>
        <v>0</v>
      </c>
      <c r="E20" s="6">
        <f t="shared" si="0"/>
        <v>7.5</v>
      </c>
      <c r="F20" s="6">
        <f t="shared" si="0"/>
        <v>67.5</v>
      </c>
      <c r="G20" s="6">
        <f t="shared" si="0"/>
        <v>127.5</v>
      </c>
      <c r="H20" s="6">
        <f t="shared" si="0"/>
        <v>247.5</v>
      </c>
      <c r="I20" s="6">
        <f t="shared" si="0"/>
        <v>487.5</v>
      </c>
      <c r="J20" s="6">
        <f t="shared" si="0"/>
        <v>735</v>
      </c>
    </row>
    <row r="21" spans="2:11" x14ac:dyDescent="0.2">
      <c r="B21" s="5" t="s">
        <v>62</v>
      </c>
      <c r="C21" s="6">
        <v>7.4999999999999997E-2</v>
      </c>
      <c r="D21" s="8">
        <f t="shared" si="0"/>
        <v>0</v>
      </c>
      <c r="E21" s="6">
        <f t="shared" si="0"/>
        <v>7.4999999999999997E-2</v>
      </c>
      <c r="F21" s="6">
        <f t="shared" si="0"/>
        <v>0.67499999999999993</v>
      </c>
      <c r="G21" s="6">
        <f t="shared" si="0"/>
        <v>1.2749999999999999</v>
      </c>
      <c r="H21" s="6">
        <f t="shared" si="0"/>
        <v>2.4750000000000001</v>
      </c>
      <c r="I21" s="6">
        <f t="shared" si="0"/>
        <v>4.875</v>
      </c>
      <c r="J21" s="6">
        <f t="shared" si="0"/>
        <v>7.35</v>
      </c>
      <c r="K21" t="s">
        <v>241</v>
      </c>
    </row>
    <row r="22" spans="2:11" x14ac:dyDescent="0.2">
      <c r="B22" s="5" t="s">
        <v>6</v>
      </c>
      <c r="C22" s="6">
        <v>0.9</v>
      </c>
      <c r="D22" s="8">
        <f t="shared" si="0"/>
        <v>0</v>
      </c>
      <c r="E22" s="6">
        <f t="shared" si="0"/>
        <v>0.9</v>
      </c>
      <c r="F22" s="6">
        <f t="shared" si="0"/>
        <v>8.1</v>
      </c>
      <c r="G22" s="6">
        <f t="shared" si="0"/>
        <v>15.3</v>
      </c>
      <c r="H22" s="6">
        <f t="shared" si="0"/>
        <v>29.7</v>
      </c>
      <c r="I22" s="6">
        <f t="shared" si="0"/>
        <v>58.5</v>
      </c>
      <c r="J22" s="6">
        <f t="shared" si="0"/>
        <v>88.2</v>
      </c>
    </row>
    <row r="23" spans="2:11" x14ac:dyDescent="0.2">
      <c r="B23" s="5" t="s">
        <v>7</v>
      </c>
      <c r="C23" s="6">
        <v>0.9</v>
      </c>
      <c r="D23" s="8">
        <f t="shared" si="0"/>
        <v>0</v>
      </c>
      <c r="E23" s="6">
        <f t="shared" si="0"/>
        <v>0.9</v>
      </c>
      <c r="F23" s="6">
        <f t="shared" si="0"/>
        <v>8.1</v>
      </c>
      <c r="G23" s="6">
        <f t="shared" si="0"/>
        <v>15.3</v>
      </c>
      <c r="H23" s="6">
        <f t="shared" si="0"/>
        <v>29.7</v>
      </c>
      <c r="I23" s="6">
        <f t="shared" si="0"/>
        <v>58.5</v>
      </c>
      <c r="J23" s="6">
        <f t="shared" si="0"/>
        <v>88.2</v>
      </c>
    </row>
    <row r="24" spans="2:11" x14ac:dyDescent="0.2">
      <c r="B24" s="5" t="s">
        <v>8</v>
      </c>
      <c r="C24" s="6">
        <v>1.5</v>
      </c>
      <c r="D24" s="8">
        <f t="shared" si="0"/>
        <v>0</v>
      </c>
      <c r="E24" s="6">
        <f t="shared" si="0"/>
        <v>1.5</v>
      </c>
      <c r="F24" s="6">
        <f t="shared" si="0"/>
        <v>13.5</v>
      </c>
      <c r="G24" s="6">
        <f t="shared" si="0"/>
        <v>25.5</v>
      </c>
      <c r="H24" s="6">
        <f t="shared" si="0"/>
        <v>49.5</v>
      </c>
      <c r="I24" s="6">
        <f t="shared" si="0"/>
        <v>97.5</v>
      </c>
      <c r="J24" s="6">
        <f t="shared" si="0"/>
        <v>147</v>
      </c>
    </row>
    <row r="25" spans="2:11" x14ac:dyDescent="0.2">
      <c r="B25" s="5" t="s">
        <v>9</v>
      </c>
      <c r="C25" s="6">
        <v>1.5</v>
      </c>
      <c r="D25" s="8">
        <f t="shared" si="0"/>
        <v>0</v>
      </c>
      <c r="E25" s="6">
        <f t="shared" si="0"/>
        <v>1.5</v>
      </c>
      <c r="F25" s="6">
        <f t="shared" si="0"/>
        <v>13.5</v>
      </c>
      <c r="G25" s="6">
        <f t="shared" si="0"/>
        <v>25.5</v>
      </c>
      <c r="H25" s="6">
        <f t="shared" si="0"/>
        <v>49.5</v>
      </c>
      <c r="I25" s="6">
        <f t="shared" si="0"/>
        <v>97.5</v>
      </c>
      <c r="J25" s="6">
        <f t="shared" si="0"/>
        <v>147</v>
      </c>
    </row>
    <row r="27" spans="2:11" x14ac:dyDescent="0.2">
      <c r="B27" s="2" t="s">
        <v>11</v>
      </c>
      <c r="C27" s="3">
        <v>1.5</v>
      </c>
      <c r="D27" s="3"/>
      <c r="E27" s="3"/>
      <c r="F27" s="3"/>
      <c r="G27" s="3"/>
      <c r="H27" s="3"/>
      <c r="I27" s="4"/>
    </row>
    <row r="29" spans="2:11" x14ac:dyDescent="0.2">
      <c r="B29" s="2" t="s">
        <v>12</v>
      </c>
      <c r="C29" s="3">
        <f>SUM(C19:C27)</f>
        <v>15</v>
      </c>
      <c r="D29" s="3"/>
      <c r="E29" s="3"/>
      <c r="F29" s="3"/>
      <c r="G29" s="3"/>
      <c r="H29" s="3"/>
      <c r="I29" s="4"/>
    </row>
    <row r="32" spans="2:11" x14ac:dyDescent="0.2">
      <c r="B32" s="9" t="s">
        <v>15</v>
      </c>
    </row>
    <row r="34" spans="2:5" x14ac:dyDescent="0.2">
      <c r="B34" t="s">
        <v>18</v>
      </c>
      <c r="C34" s="6" t="s">
        <v>16</v>
      </c>
      <c r="D34" s="6" t="s">
        <v>17</v>
      </c>
    </row>
    <row r="36" spans="2:5" x14ac:dyDescent="0.2">
      <c r="B36" s="1" t="s">
        <v>27</v>
      </c>
      <c r="D36" s="10" t="s">
        <v>20</v>
      </c>
      <c r="E36" s="6" t="s">
        <v>26</v>
      </c>
    </row>
    <row r="37" spans="2:5" x14ac:dyDescent="0.2">
      <c r="B37" s="1" t="s">
        <v>28</v>
      </c>
      <c r="D37" s="10" t="s">
        <v>21</v>
      </c>
      <c r="E37" s="6" t="s">
        <v>25</v>
      </c>
    </row>
    <row r="38" spans="2:5" x14ac:dyDescent="0.2">
      <c r="B38" s="1" t="s">
        <v>29</v>
      </c>
      <c r="C38" t="s">
        <v>32</v>
      </c>
      <c r="D38" s="10" t="s">
        <v>22</v>
      </c>
      <c r="E38" s="6" t="s">
        <v>25</v>
      </c>
    </row>
    <row r="39" spans="2:5" x14ac:dyDescent="0.2">
      <c r="B39" s="1" t="s">
        <v>30</v>
      </c>
      <c r="D39" s="10" t="s">
        <v>23</v>
      </c>
      <c r="E39" s="6" t="s">
        <v>25</v>
      </c>
    </row>
    <row r="40" spans="2:5" x14ac:dyDescent="0.2">
      <c r="B40" s="1" t="s">
        <v>31</v>
      </c>
      <c r="D40" s="10" t="s">
        <v>24</v>
      </c>
      <c r="E40" s="6" t="s">
        <v>19</v>
      </c>
    </row>
    <row r="42" spans="2:5" x14ac:dyDescent="0.2">
      <c r="B42" t="s">
        <v>33</v>
      </c>
      <c r="C42" s="6" t="s">
        <v>24</v>
      </c>
      <c r="D42" s="6" t="s">
        <v>19</v>
      </c>
    </row>
    <row r="45" spans="2:5" x14ac:dyDescent="0.2">
      <c r="B45" t="s">
        <v>34</v>
      </c>
    </row>
    <row r="47" spans="2:5" x14ac:dyDescent="0.2">
      <c r="B47" t="s">
        <v>66</v>
      </c>
    </row>
    <row r="48" spans="2:5" x14ac:dyDescent="0.2">
      <c r="B48" t="s">
        <v>67</v>
      </c>
    </row>
    <row r="51" spans="1:21" x14ac:dyDescent="0.2">
      <c r="A51" s="11" t="s">
        <v>65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 x14ac:dyDescent="0.2">
      <c r="A53" s="40" t="s">
        <v>198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 t="s">
        <v>53</v>
      </c>
      <c r="M55" s="11"/>
      <c r="N55" s="11"/>
      <c r="O55" s="11"/>
      <c r="P55" s="11"/>
      <c r="Q55" s="11"/>
      <c r="R55" s="11"/>
      <c r="S55" s="11"/>
      <c r="T55" s="11"/>
      <c r="U55" s="11"/>
    </row>
    <row r="56" spans="1:21" x14ac:dyDescent="0.2">
      <c r="A56" s="11" t="s">
        <v>35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 t="s">
        <v>54</v>
      </c>
      <c r="M56" s="11"/>
      <c r="N56" s="11"/>
      <c r="O56" s="11"/>
      <c r="P56" s="11"/>
      <c r="Q56" s="11"/>
      <c r="R56" s="11"/>
      <c r="S56" s="11"/>
      <c r="T56" s="11"/>
      <c r="U56" s="11"/>
    </row>
    <row r="57" spans="1:21" x14ac:dyDescent="0.2">
      <c r="A57" s="11"/>
      <c r="B57" s="13"/>
      <c r="C57" s="13" t="s">
        <v>13</v>
      </c>
      <c r="D57" s="13"/>
      <c r="E57" s="13">
        <v>1</v>
      </c>
      <c r="F57" s="13">
        <v>9</v>
      </c>
      <c r="G57" s="13">
        <v>17</v>
      </c>
      <c r="H57" s="13">
        <v>33</v>
      </c>
      <c r="I57" s="13">
        <v>65</v>
      </c>
      <c r="J57" s="11"/>
      <c r="K57" s="11"/>
      <c r="L57" s="12"/>
      <c r="M57" s="12" t="s">
        <v>44</v>
      </c>
      <c r="N57" s="12" t="s">
        <v>45</v>
      </c>
      <c r="O57" s="12" t="s">
        <v>46</v>
      </c>
      <c r="P57" s="12" t="s">
        <v>47</v>
      </c>
      <c r="Q57" s="12" t="s">
        <v>48</v>
      </c>
      <c r="R57" s="12" t="s">
        <v>49</v>
      </c>
      <c r="S57" s="12" t="s">
        <v>50</v>
      </c>
      <c r="T57" s="12" t="s">
        <v>51</v>
      </c>
      <c r="U57" s="11"/>
    </row>
    <row r="58" spans="1:21" x14ac:dyDescent="0.2">
      <c r="A58" s="11"/>
      <c r="B58" s="14" t="s">
        <v>10</v>
      </c>
      <c r="C58" s="13">
        <v>1.125</v>
      </c>
      <c r="D58" s="13">
        <f t="shared" ref="D58:I63" si="1">$C58*D$57</f>
        <v>0</v>
      </c>
      <c r="E58" s="13">
        <f t="shared" si="1"/>
        <v>1.125</v>
      </c>
      <c r="F58" s="13">
        <f t="shared" si="1"/>
        <v>10.125</v>
      </c>
      <c r="G58" s="13">
        <f t="shared" si="1"/>
        <v>19.125</v>
      </c>
      <c r="H58" s="13">
        <f t="shared" si="1"/>
        <v>37.125</v>
      </c>
      <c r="I58" s="13">
        <f t="shared" si="1"/>
        <v>73.125</v>
      </c>
      <c r="J58" s="11"/>
      <c r="K58" s="11"/>
      <c r="L58" s="12" t="s">
        <v>36</v>
      </c>
      <c r="M58" s="12" t="s">
        <v>52</v>
      </c>
      <c r="N58" s="12">
        <v>8</v>
      </c>
      <c r="O58" s="12">
        <v>15</v>
      </c>
      <c r="P58" s="12">
        <v>22</v>
      </c>
      <c r="Q58" s="12">
        <v>29</v>
      </c>
      <c r="R58" s="12">
        <v>36</v>
      </c>
      <c r="S58" s="12">
        <v>43</v>
      </c>
      <c r="T58" s="12">
        <v>50</v>
      </c>
      <c r="U58" s="11"/>
    </row>
    <row r="59" spans="1:21" x14ac:dyDescent="0.2">
      <c r="A59" s="11"/>
      <c r="B59" s="14" t="s">
        <v>4</v>
      </c>
      <c r="C59" s="13">
        <v>7.5</v>
      </c>
      <c r="D59" s="13">
        <f t="shared" si="1"/>
        <v>0</v>
      </c>
      <c r="E59" s="13">
        <f t="shared" si="1"/>
        <v>7.5</v>
      </c>
      <c r="F59" s="13">
        <f t="shared" si="1"/>
        <v>67.5</v>
      </c>
      <c r="G59" s="13">
        <f t="shared" si="1"/>
        <v>127.5</v>
      </c>
      <c r="H59" s="13">
        <f t="shared" si="1"/>
        <v>247.5</v>
      </c>
      <c r="I59" s="13">
        <f t="shared" si="1"/>
        <v>487.5</v>
      </c>
      <c r="J59" s="11"/>
      <c r="K59" s="11"/>
      <c r="L59" s="12" t="s">
        <v>37</v>
      </c>
      <c r="M59" s="12">
        <v>1</v>
      </c>
      <c r="N59" s="12" t="s">
        <v>52</v>
      </c>
      <c r="O59" s="12">
        <v>16</v>
      </c>
      <c r="P59" s="12">
        <v>23</v>
      </c>
      <c r="Q59" s="12">
        <v>30</v>
      </c>
      <c r="R59" s="12">
        <v>37</v>
      </c>
      <c r="S59" s="12">
        <v>44</v>
      </c>
      <c r="T59" s="12" t="s">
        <v>52</v>
      </c>
      <c r="U59" s="11"/>
    </row>
    <row r="60" spans="1:21" x14ac:dyDescent="0.2">
      <c r="A60" s="11"/>
      <c r="B60" s="14" t="s">
        <v>5</v>
      </c>
      <c r="C60" s="13">
        <v>7.4999999999999997E-2</v>
      </c>
      <c r="D60" s="13">
        <f t="shared" si="1"/>
        <v>0</v>
      </c>
      <c r="E60" s="13">
        <f t="shared" si="1"/>
        <v>7.4999999999999997E-2</v>
      </c>
      <c r="F60" s="13">
        <f t="shared" si="1"/>
        <v>0.67499999999999993</v>
      </c>
      <c r="G60" s="13">
        <f t="shared" si="1"/>
        <v>1.2749999999999999</v>
      </c>
      <c r="H60" s="13">
        <f t="shared" si="1"/>
        <v>2.4750000000000001</v>
      </c>
      <c r="I60" s="13">
        <f t="shared" si="1"/>
        <v>4.875</v>
      </c>
      <c r="J60" s="11"/>
      <c r="K60" s="11"/>
      <c r="L60" s="12" t="s">
        <v>38</v>
      </c>
      <c r="M60" s="12">
        <v>2</v>
      </c>
      <c r="N60" s="12">
        <v>9</v>
      </c>
      <c r="O60" s="12" t="s">
        <v>52</v>
      </c>
      <c r="P60" s="12">
        <v>24</v>
      </c>
      <c r="Q60" s="12">
        <v>31</v>
      </c>
      <c r="R60" s="12">
        <v>38</v>
      </c>
      <c r="S60" s="12">
        <v>45</v>
      </c>
      <c r="T60" s="12" t="s">
        <v>52</v>
      </c>
      <c r="U60" s="11"/>
    </row>
    <row r="61" spans="1:21" x14ac:dyDescent="0.2">
      <c r="A61" s="11"/>
      <c r="B61" s="14" t="s">
        <v>55</v>
      </c>
      <c r="C61" s="13">
        <v>0.9</v>
      </c>
      <c r="D61" s="13">
        <f t="shared" si="1"/>
        <v>0</v>
      </c>
      <c r="E61" s="13">
        <f t="shared" si="1"/>
        <v>0.9</v>
      </c>
      <c r="F61" s="13">
        <f t="shared" si="1"/>
        <v>8.1</v>
      </c>
      <c r="G61" s="13">
        <f t="shared" si="1"/>
        <v>15.3</v>
      </c>
      <c r="H61" s="13">
        <f t="shared" si="1"/>
        <v>29.7</v>
      </c>
      <c r="I61" s="13">
        <f t="shared" si="1"/>
        <v>58.5</v>
      </c>
      <c r="J61" s="11"/>
      <c r="K61" s="11"/>
      <c r="L61" s="12" t="s">
        <v>39</v>
      </c>
      <c r="M61" s="12">
        <v>3</v>
      </c>
      <c r="N61" s="12">
        <v>10</v>
      </c>
      <c r="O61" s="12">
        <v>17</v>
      </c>
      <c r="P61" s="12" t="s">
        <v>52</v>
      </c>
      <c r="Q61" s="12">
        <v>32</v>
      </c>
      <c r="R61" s="12">
        <v>39</v>
      </c>
      <c r="S61" s="12">
        <v>46</v>
      </c>
      <c r="T61" s="12" t="s">
        <v>52</v>
      </c>
      <c r="U61" s="11"/>
    </row>
    <row r="62" spans="1:21" x14ac:dyDescent="0.2">
      <c r="A62" s="11"/>
      <c r="B62" s="14" t="s">
        <v>56</v>
      </c>
      <c r="C62" s="13">
        <v>0.9</v>
      </c>
      <c r="D62" s="13">
        <f t="shared" si="1"/>
        <v>0</v>
      </c>
      <c r="E62" s="13">
        <f t="shared" si="1"/>
        <v>0.9</v>
      </c>
      <c r="F62" s="13">
        <f t="shared" si="1"/>
        <v>8.1</v>
      </c>
      <c r="G62" s="13">
        <f t="shared" si="1"/>
        <v>15.3</v>
      </c>
      <c r="H62" s="13">
        <f t="shared" si="1"/>
        <v>29.7</v>
      </c>
      <c r="I62" s="13">
        <f t="shared" si="1"/>
        <v>58.5</v>
      </c>
      <c r="J62" s="11"/>
      <c r="K62" s="11"/>
      <c r="L62" s="12" t="s">
        <v>40</v>
      </c>
      <c r="M62" s="12">
        <v>4</v>
      </c>
      <c r="N62" s="12">
        <v>11</v>
      </c>
      <c r="O62" s="12">
        <v>18</v>
      </c>
      <c r="P62" s="12">
        <v>25</v>
      </c>
      <c r="Q62" s="12" t="s">
        <v>52</v>
      </c>
      <c r="R62" s="12">
        <v>40</v>
      </c>
      <c r="S62" s="12">
        <v>47</v>
      </c>
      <c r="T62" s="12" t="s">
        <v>52</v>
      </c>
      <c r="U62" s="11"/>
    </row>
    <row r="63" spans="1:21" x14ac:dyDescent="0.2">
      <c r="A63" s="11"/>
      <c r="B63" s="14" t="s">
        <v>57</v>
      </c>
      <c r="C63" s="13">
        <v>3</v>
      </c>
      <c r="D63" s="13">
        <f t="shared" si="1"/>
        <v>0</v>
      </c>
      <c r="E63" s="13">
        <f t="shared" si="1"/>
        <v>3</v>
      </c>
      <c r="F63" s="13">
        <f t="shared" si="1"/>
        <v>27</v>
      </c>
      <c r="G63" s="13">
        <f t="shared" si="1"/>
        <v>51</v>
      </c>
      <c r="H63" s="13">
        <f t="shared" si="1"/>
        <v>99</v>
      </c>
      <c r="I63" s="13">
        <f t="shared" si="1"/>
        <v>195</v>
      </c>
      <c r="J63" s="11"/>
      <c r="K63" s="11"/>
      <c r="L63" s="12" t="s">
        <v>41</v>
      </c>
      <c r="M63" s="12">
        <v>5</v>
      </c>
      <c r="N63" s="12">
        <v>12</v>
      </c>
      <c r="O63" s="12">
        <v>19</v>
      </c>
      <c r="P63" s="12">
        <v>26</v>
      </c>
      <c r="Q63" s="12">
        <v>33</v>
      </c>
      <c r="R63" s="12" t="s">
        <v>52</v>
      </c>
      <c r="S63" s="12">
        <v>48</v>
      </c>
      <c r="T63" s="12" t="s">
        <v>52</v>
      </c>
      <c r="U63" s="11"/>
    </row>
    <row r="64" spans="1:21" x14ac:dyDescent="0.2">
      <c r="A64" s="11"/>
      <c r="B64" s="14"/>
      <c r="C64" s="13"/>
      <c r="D64" s="13"/>
      <c r="E64" s="13"/>
      <c r="F64" s="13"/>
      <c r="G64" s="13"/>
      <c r="H64" s="13"/>
      <c r="I64" s="13"/>
      <c r="J64" s="11"/>
      <c r="K64" s="11"/>
      <c r="L64" s="12" t="s">
        <v>42</v>
      </c>
      <c r="M64" s="12">
        <v>6</v>
      </c>
      <c r="N64" s="12">
        <v>13</v>
      </c>
      <c r="O64" s="12">
        <v>20</v>
      </c>
      <c r="P64" s="12">
        <v>27</v>
      </c>
      <c r="Q64" s="12">
        <v>34</v>
      </c>
      <c r="R64" s="12">
        <v>41</v>
      </c>
      <c r="S64" s="12" t="s">
        <v>52</v>
      </c>
      <c r="T64" s="12" t="s">
        <v>52</v>
      </c>
      <c r="U64" s="11"/>
    </row>
    <row r="65" spans="1:2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2" t="s">
        <v>43</v>
      </c>
      <c r="M65" s="12">
        <v>7</v>
      </c>
      <c r="N65" s="12">
        <v>14</v>
      </c>
      <c r="O65" s="12">
        <v>21</v>
      </c>
      <c r="P65" s="12">
        <v>28</v>
      </c>
      <c r="Q65" s="12">
        <v>35</v>
      </c>
      <c r="R65" s="12">
        <v>42</v>
      </c>
      <c r="S65" s="12">
        <v>49</v>
      </c>
      <c r="T65" s="12" t="s">
        <v>52</v>
      </c>
      <c r="U65" s="11"/>
    </row>
    <row r="66" spans="1:21" x14ac:dyDescent="0.2">
      <c r="A66" s="11"/>
      <c r="B66" s="15" t="s">
        <v>11</v>
      </c>
      <c r="C66" s="16">
        <v>1.5</v>
      </c>
      <c r="D66" s="16"/>
      <c r="E66" s="16"/>
      <c r="F66" s="16"/>
      <c r="G66" s="16"/>
      <c r="H66" s="16"/>
      <c r="I66" s="17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x14ac:dyDescent="0.2">
      <c r="A68" s="11"/>
      <c r="B68" s="15" t="s">
        <v>12</v>
      </c>
      <c r="C68" s="16">
        <f>SUM(C58:C66)</f>
        <v>15</v>
      </c>
      <c r="D68" s="16"/>
      <c r="E68" s="16"/>
      <c r="F68" s="16"/>
      <c r="G68" s="16"/>
      <c r="H68" s="16"/>
      <c r="I68" s="17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 x14ac:dyDescent="0.2">
      <c r="A69" s="11"/>
      <c r="B69" s="18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x14ac:dyDescent="0.2">
      <c r="A70" s="11"/>
      <c r="B70" s="19" t="s">
        <v>15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x14ac:dyDescent="0.2">
      <c r="A72" s="11"/>
      <c r="B72" s="11" t="s">
        <v>18</v>
      </c>
      <c r="C72" s="13" t="s">
        <v>16</v>
      </c>
      <c r="D72" s="13" t="s">
        <v>17</v>
      </c>
      <c r="E72" s="11"/>
      <c r="F72" s="11"/>
      <c r="G72" s="11" t="s">
        <v>61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 x14ac:dyDescent="0.2">
      <c r="A74" s="11"/>
      <c r="B74" s="18" t="s">
        <v>27</v>
      </c>
      <c r="C74" s="11"/>
      <c r="D74" s="20" t="s">
        <v>20</v>
      </c>
      <c r="E74" s="13" t="s">
        <v>26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 x14ac:dyDescent="0.2">
      <c r="A75" s="11"/>
      <c r="B75" s="18" t="s">
        <v>28</v>
      </c>
      <c r="C75" s="11"/>
      <c r="D75" s="20" t="s">
        <v>21</v>
      </c>
      <c r="E75" s="13" t="s">
        <v>25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x14ac:dyDescent="0.2">
      <c r="A76" s="11"/>
      <c r="B76" s="18" t="s">
        <v>29</v>
      </c>
      <c r="C76" s="11" t="s">
        <v>32</v>
      </c>
      <c r="D76" s="20" t="s">
        <v>22</v>
      </c>
      <c r="E76" s="13" t="s">
        <v>25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 x14ac:dyDescent="0.2">
      <c r="A77" s="11"/>
      <c r="B77" s="18" t="s">
        <v>30</v>
      </c>
      <c r="C77" s="11"/>
      <c r="D77" s="20" t="s">
        <v>23</v>
      </c>
      <c r="E77" s="13" t="s">
        <v>25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x14ac:dyDescent="0.2">
      <c r="A78" s="11"/>
      <c r="B78" s="18" t="s">
        <v>31</v>
      </c>
      <c r="C78" s="11"/>
      <c r="D78" s="20" t="s">
        <v>24</v>
      </c>
      <c r="E78" s="13" t="s">
        <v>19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x14ac:dyDescent="0.2">
      <c r="A80" s="11"/>
      <c r="B80" s="11" t="s">
        <v>33</v>
      </c>
      <c r="C80" s="13" t="s">
        <v>24</v>
      </c>
      <c r="D80" s="13" t="s">
        <v>19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 x14ac:dyDescent="0.2">
      <c r="A82" s="11"/>
      <c r="B82" s="11" t="s">
        <v>58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 x14ac:dyDescent="0.2">
      <c r="A83" s="11"/>
      <c r="B83" s="11" t="s">
        <v>59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x14ac:dyDescent="0.2">
      <c r="A84" s="11"/>
      <c r="B84" s="11" t="s">
        <v>60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</sheetData>
  <mergeCells count="1">
    <mergeCell ref="D17:J17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CAC0-07CC-4F8B-9616-7E9856560D14}">
  <sheetPr>
    <pageSetUpPr fitToPage="1"/>
  </sheetPr>
  <dimension ref="A1:N194"/>
  <sheetViews>
    <sheetView topLeftCell="A7" workbookViewId="0">
      <selection activeCell="K52" sqref="K52"/>
    </sheetView>
  </sheetViews>
  <sheetFormatPr baseColWidth="10" defaultColWidth="8.83203125" defaultRowHeight="15" x14ac:dyDescent="0.2"/>
  <cols>
    <col min="3" max="3" width="21.33203125" customWidth="1"/>
  </cols>
  <sheetData>
    <row r="1" spans="1:11" x14ac:dyDescent="0.2">
      <c r="A1" s="9" t="s">
        <v>69</v>
      </c>
    </row>
    <row r="2" spans="1:11" x14ac:dyDescent="0.2">
      <c r="A2" t="s">
        <v>0</v>
      </c>
    </row>
    <row r="3" spans="1:11" x14ac:dyDescent="0.2">
      <c r="A3" t="s">
        <v>68</v>
      </c>
    </row>
    <row r="4" spans="1:11" x14ac:dyDescent="0.2">
      <c r="A4" t="s">
        <v>1</v>
      </c>
    </row>
    <row r="7" spans="1:11" x14ac:dyDescent="0.2">
      <c r="A7" s="29" t="s">
        <v>195</v>
      </c>
    </row>
    <row r="8" spans="1:11" x14ac:dyDescent="0.2">
      <c r="A8" s="30" t="s">
        <v>199</v>
      </c>
      <c r="B8" s="21"/>
      <c r="C8" s="21"/>
      <c r="D8" s="21"/>
      <c r="E8" s="21"/>
      <c r="F8" s="21"/>
      <c r="G8" s="21"/>
      <c r="H8" s="21"/>
      <c r="I8" s="21"/>
      <c r="J8" s="21"/>
      <c r="K8" s="31"/>
    </row>
    <row r="9" spans="1:11" x14ac:dyDescent="0.2">
      <c r="A9" s="32"/>
      <c r="B9" t="s">
        <v>70</v>
      </c>
      <c r="K9" s="33"/>
    </row>
    <row r="10" spans="1:11" x14ac:dyDescent="0.2">
      <c r="A10" s="32"/>
      <c r="B10" t="s">
        <v>71</v>
      </c>
      <c r="K10" s="33"/>
    </row>
    <row r="11" spans="1:11" x14ac:dyDescent="0.2">
      <c r="A11" s="32" t="s">
        <v>2</v>
      </c>
      <c r="K11" s="33"/>
    </row>
    <row r="12" spans="1:11" x14ac:dyDescent="0.2">
      <c r="A12" s="32"/>
      <c r="B12" s="34" t="s">
        <v>242</v>
      </c>
      <c r="K12" s="33"/>
    </row>
    <row r="13" spans="1:11" x14ac:dyDescent="0.2">
      <c r="A13" s="32"/>
      <c r="B13" s="35"/>
      <c r="K13" s="33"/>
    </row>
    <row r="14" spans="1:11" x14ac:dyDescent="0.2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8"/>
    </row>
    <row r="16" spans="1:11" x14ac:dyDescent="0.2">
      <c r="A16" t="s">
        <v>73</v>
      </c>
    </row>
    <row r="17" spans="2:5" x14ac:dyDescent="0.2">
      <c r="B17" t="s">
        <v>74</v>
      </c>
    </row>
    <row r="18" spans="2:5" x14ac:dyDescent="0.2">
      <c r="C18" t="s">
        <v>75</v>
      </c>
      <c r="D18" t="s">
        <v>76</v>
      </c>
    </row>
    <row r="21" spans="2:5" x14ac:dyDescent="0.2">
      <c r="B21" s="9" t="s">
        <v>78</v>
      </c>
    </row>
    <row r="22" spans="2:5" x14ac:dyDescent="0.2">
      <c r="D22" t="s">
        <v>79</v>
      </c>
    </row>
    <row r="23" spans="2:5" x14ac:dyDescent="0.2">
      <c r="C23" s="21" t="s">
        <v>81</v>
      </c>
      <c r="D23" s="21">
        <v>10</v>
      </c>
    </row>
    <row r="24" spans="2:5" ht="16" thickBot="1" x14ac:dyDescent="0.25">
      <c r="C24" s="22" t="s">
        <v>72</v>
      </c>
      <c r="D24" s="22">
        <v>8</v>
      </c>
      <c r="E24" t="s">
        <v>82</v>
      </c>
    </row>
    <row r="25" spans="2:5" ht="16" thickTop="1" x14ac:dyDescent="0.2">
      <c r="E25" t="s">
        <v>243</v>
      </c>
    </row>
    <row r="26" spans="2:5" x14ac:dyDescent="0.2">
      <c r="C26" t="s">
        <v>83</v>
      </c>
    </row>
    <row r="27" spans="2:5" x14ac:dyDescent="0.2">
      <c r="C27" t="s">
        <v>84</v>
      </c>
    </row>
    <row r="28" spans="2:5" x14ac:dyDescent="0.2">
      <c r="C28" t="s">
        <v>85</v>
      </c>
    </row>
    <row r="29" spans="2:5" x14ac:dyDescent="0.2">
      <c r="C29" t="s">
        <v>84</v>
      </c>
    </row>
    <row r="30" spans="2:5" x14ac:dyDescent="0.2">
      <c r="C30" t="s">
        <v>85</v>
      </c>
    </row>
    <row r="31" spans="2:5" x14ac:dyDescent="0.2">
      <c r="C31" t="s">
        <v>84</v>
      </c>
    </row>
    <row r="32" spans="2:5" x14ac:dyDescent="0.2">
      <c r="C32" t="s">
        <v>86</v>
      </c>
    </row>
    <row r="33" spans="3:9" x14ac:dyDescent="0.2">
      <c r="C33" t="s">
        <v>87</v>
      </c>
    </row>
    <row r="34" spans="3:9" x14ac:dyDescent="0.2">
      <c r="C34" t="s">
        <v>88</v>
      </c>
    </row>
    <row r="35" spans="3:9" x14ac:dyDescent="0.2">
      <c r="C35" t="s">
        <v>83</v>
      </c>
    </row>
    <row r="36" spans="3:9" x14ac:dyDescent="0.2">
      <c r="C36" t="s">
        <v>89</v>
      </c>
    </row>
    <row r="38" spans="3:9" x14ac:dyDescent="0.2">
      <c r="C38" t="s">
        <v>90</v>
      </c>
    </row>
    <row r="39" spans="3:9" x14ac:dyDescent="0.2">
      <c r="C39" s="6" t="s">
        <v>91</v>
      </c>
      <c r="D39" s="6" t="s">
        <v>92</v>
      </c>
      <c r="E39" s="6" t="s">
        <v>244</v>
      </c>
      <c r="I39" t="s">
        <v>248</v>
      </c>
    </row>
    <row r="40" spans="3:9" x14ac:dyDescent="0.2">
      <c r="C40" s="44" t="s">
        <v>246</v>
      </c>
      <c r="D40" s="44"/>
      <c r="E40" s="44" t="s">
        <v>245</v>
      </c>
      <c r="I40" s="45" t="s">
        <v>247</v>
      </c>
    </row>
    <row r="41" spans="3:9" x14ac:dyDescent="0.2">
      <c r="C41" s="7"/>
      <c r="D41" s="7"/>
      <c r="E41" s="7"/>
      <c r="I41" s="45" t="str">
        <f>CONCATENATE(C41,",",E41)</f>
        <v>,</v>
      </c>
    </row>
    <row r="42" spans="3:9" x14ac:dyDescent="0.2">
      <c r="C42" s="7"/>
      <c r="D42" s="7"/>
      <c r="E42" s="7"/>
      <c r="I42" s="45"/>
    </row>
    <row r="43" spans="3:9" x14ac:dyDescent="0.2">
      <c r="C43" s="7"/>
      <c r="D43" s="7"/>
      <c r="E43" s="7"/>
      <c r="I43" s="45"/>
    </row>
    <row r="44" spans="3:9" x14ac:dyDescent="0.2">
      <c r="C44" s="7"/>
      <c r="D44" s="7"/>
      <c r="E44" s="7"/>
      <c r="I44" s="45"/>
    </row>
    <row r="45" spans="3:9" x14ac:dyDescent="0.2">
      <c r="C45" s="7"/>
      <c r="D45" s="7"/>
      <c r="E45" s="7"/>
      <c r="I45" s="45"/>
    </row>
    <row r="46" spans="3:9" x14ac:dyDescent="0.2">
      <c r="C46" s="7"/>
      <c r="D46" s="7"/>
      <c r="E46" s="7"/>
      <c r="I46" s="45"/>
    </row>
    <row r="47" spans="3:9" x14ac:dyDescent="0.2">
      <c r="C47" s="7"/>
      <c r="D47" s="7"/>
      <c r="E47" s="7"/>
      <c r="I47" s="45"/>
    </row>
    <row r="49" spans="2:7" x14ac:dyDescent="0.2">
      <c r="B49" s="9" t="s">
        <v>93</v>
      </c>
    </row>
    <row r="50" spans="2:7" x14ac:dyDescent="0.2">
      <c r="C50" s="23" t="s">
        <v>94</v>
      </c>
    </row>
    <row r="51" spans="2:7" x14ac:dyDescent="0.2">
      <c r="D51" t="s">
        <v>79</v>
      </c>
    </row>
    <row r="52" spans="2:7" x14ac:dyDescent="0.2">
      <c r="C52" s="6" t="s">
        <v>95</v>
      </c>
      <c r="D52" s="6">
        <v>12.5</v>
      </c>
      <c r="G52" t="s">
        <v>96</v>
      </c>
    </row>
    <row r="53" spans="2:7" x14ac:dyDescent="0.2">
      <c r="C53" s="6"/>
      <c r="D53" s="6"/>
    </row>
    <row r="54" spans="2:7" x14ac:dyDescent="0.2">
      <c r="C54" s="6" t="s">
        <v>97</v>
      </c>
      <c r="D54" s="6">
        <v>1.75</v>
      </c>
      <c r="F54" t="s">
        <v>98</v>
      </c>
    </row>
    <row r="55" spans="2:7" x14ac:dyDescent="0.2">
      <c r="C55" s="6" t="s">
        <v>99</v>
      </c>
      <c r="D55" s="6">
        <v>0.75</v>
      </c>
    </row>
    <row r="56" spans="2:7" x14ac:dyDescent="0.2">
      <c r="C56" t="s">
        <v>12</v>
      </c>
      <c r="D56" t="s">
        <v>100</v>
      </c>
    </row>
    <row r="58" spans="2:7" x14ac:dyDescent="0.2">
      <c r="C58" t="s">
        <v>101</v>
      </c>
    </row>
    <row r="59" spans="2:7" x14ac:dyDescent="0.2">
      <c r="C59" t="s">
        <v>102</v>
      </c>
    </row>
    <row r="60" spans="2:7" x14ac:dyDescent="0.2">
      <c r="C60" s="21" t="s">
        <v>103</v>
      </c>
      <c r="D60" s="21" t="s">
        <v>104</v>
      </c>
    </row>
    <row r="61" spans="2:7" x14ac:dyDescent="0.2">
      <c r="C61" t="s">
        <v>105</v>
      </c>
      <c r="D61" t="s">
        <v>104</v>
      </c>
    </row>
    <row r="62" spans="2:7" ht="16" thickBot="1" x14ac:dyDescent="0.25">
      <c r="C62" s="22" t="s">
        <v>106</v>
      </c>
      <c r="D62" s="22" t="s">
        <v>107</v>
      </c>
    </row>
    <row r="63" spans="2:7" ht="16" thickTop="1" x14ac:dyDescent="0.2"/>
    <row r="64" spans="2:7" x14ac:dyDescent="0.2">
      <c r="B64" t="s">
        <v>108</v>
      </c>
    </row>
    <row r="65" spans="2:14" x14ac:dyDescent="0.2">
      <c r="B65" s="30"/>
      <c r="C65" s="21" t="s">
        <v>200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31"/>
    </row>
    <row r="66" spans="2:14" x14ac:dyDescent="0.2">
      <c r="B66" s="32"/>
      <c r="C66" t="s">
        <v>201</v>
      </c>
      <c r="N66" s="33"/>
    </row>
    <row r="67" spans="2:14" x14ac:dyDescent="0.2">
      <c r="B67" s="32"/>
      <c r="C67" t="s">
        <v>109</v>
      </c>
      <c r="N67" s="33"/>
    </row>
    <row r="68" spans="2:14" x14ac:dyDescent="0.2">
      <c r="B68" s="32"/>
      <c r="C68" t="s">
        <v>110</v>
      </c>
      <c r="N68" s="33"/>
    </row>
    <row r="69" spans="2:14" x14ac:dyDescent="0.2">
      <c r="B69" s="36"/>
      <c r="C69" s="37" t="s">
        <v>111</v>
      </c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8"/>
    </row>
    <row r="71" spans="2:14" x14ac:dyDescent="0.2">
      <c r="B71" s="9" t="s">
        <v>112</v>
      </c>
    </row>
    <row r="72" spans="2:14" x14ac:dyDescent="0.2">
      <c r="D72" t="s">
        <v>79</v>
      </c>
      <c r="F72" t="s">
        <v>113</v>
      </c>
    </row>
    <row r="73" spans="2:14" x14ac:dyDescent="0.2">
      <c r="C73" s="21" t="s">
        <v>114</v>
      </c>
      <c r="D73" s="21">
        <v>4.5</v>
      </c>
      <c r="F73" t="s">
        <v>115</v>
      </c>
    </row>
    <row r="74" spans="2:14" x14ac:dyDescent="0.2">
      <c r="C74" t="s">
        <v>116</v>
      </c>
      <c r="D74">
        <v>0.5</v>
      </c>
    </row>
    <row r="75" spans="2:14" ht="16" thickBot="1" x14ac:dyDescent="0.25">
      <c r="C75" s="22" t="s">
        <v>117</v>
      </c>
      <c r="D75" s="22">
        <v>5</v>
      </c>
    </row>
    <row r="76" spans="2:14" ht="16" thickTop="1" x14ac:dyDescent="0.2"/>
    <row r="77" spans="2:14" x14ac:dyDescent="0.2">
      <c r="C77" t="s">
        <v>101</v>
      </c>
    </row>
    <row r="78" spans="2:14" x14ac:dyDescent="0.2">
      <c r="C78" t="s">
        <v>118</v>
      </c>
    </row>
    <row r="79" spans="2:14" ht="16" thickBot="1" x14ac:dyDescent="0.25">
      <c r="C79" s="24" t="s">
        <v>103</v>
      </c>
      <c r="D79" s="24" t="s">
        <v>119</v>
      </c>
      <c r="F79" t="s">
        <v>120</v>
      </c>
    </row>
    <row r="80" spans="2:14" ht="16" thickTop="1" x14ac:dyDescent="0.2"/>
    <row r="81" spans="2:6" x14ac:dyDescent="0.2">
      <c r="C81" t="s">
        <v>121</v>
      </c>
    </row>
    <row r="82" spans="2:6" x14ac:dyDescent="0.2">
      <c r="C82" t="s">
        <v>122</v>
      </c>
    </row>
    <row r="84" spans="2:6" x14ac:dyDescent="0.2">
      <c r="B84" s="9" t="s">
        <v>123</v>
      </c>
    </row>
    <row r="85" spans="2:6" x14ac:dyDescent="0.2">
      <c r="C85" t="s">
        <v>124</v>
      </c>
    </row>
    <row r="86" spans="2:6" x14ac:dyDescent="0.2">
      <c r="C86" t="s">
        <v>125</v>
      </c>
    </row>
    <row r="87" spans="2:6" x14ac:dyDescent="0.2">
      <c r="D87" t="s">
        <v>79</v>
      </c>
    </row>
    <row r="88" spans="2:6" x14ac:dyDescent="0.2">
      <c r="C88" s="21" t="s">
        <v>126</v>
      </c>
      <c r="D88" s="21">
        <v>80</v>
      </c>
    </row>
    <row r="89" spans="2:6" ht="16" thickBot="1" x14ac:dyDescent="0.25">
      <c r="C89" s="22" t="s">
        <v>72</v>
      </c>
      <c r="D89" s="22">
        <v>96</v>
      </c>
      <c r="E89" t="s">
        <v>127</v>
      </c>
      <c r="F89" t="s">
        <v>128</v>
      </c>
    </row>
    <row r="90" spans="2:6" ht="16" thickTop="1" x14ac:dyDescent="0.2"/>
    <row r="91" spans="2:6" x14ac:dyDescent="0.2">
      <c r="C91" t="s">
        <v>83</v>
      </c>
    </row>
    <row r="92" spans="2:6" x14ac:dyDescent="0.2">
      <c r="C92" t="s">
        <v>84</v>
      </c>
    </row>
    <row r="93" spans="2:6" x14ac:dyDescent="0.2">
      <c r="C93" t="s">
        <v>85</v>
      </c>
    </row>
    <row r="94" spans="2:6" x14ac:dyDescent="0.2">
      <c r="C94" t="s">
        <v>84</v>
      </c>
    </row>
    <row r="95" spans="2:6" x14ac:dyDescent="0.2">
      <c r="C95" t="s">
        <v>85</v>
      </c>
    </row>
    <row r="96" spans="2:6" x14ac:dyDescent="0.2">
      <c r="C96" t="s">
        <v>84</v>
      </c>
    </row>
    <row r="97" spans="2:6" x14ac:dyDescent="0.2">
      <c r="C97" t="s">
        <v>86</v>
      </c>
    </row>
    <row r="98" spans="2:6" x14ac:dyDescent="0.2">
      <c r="C98" t="s">
        <v>87</v>
      </c>
    </row>
    <row r="99" spans="2:6" x14ac:dyDescent="0.2">
      <c r="C99" t="s">
        <v>129</v>
      </c>
    </row>
    <row r="101" spans="2:6" x14ac:dyDescent="0.2">
      <c r="B101" s="9" t="s">
        <v>130</v>
      </c>
    </row>
    <row r="102" spans="2:6" x14ac:dyDescent="0.2">
      <c r="D102" t="s">
        <v>79</v>
      </c>
    </row>
    <row r="103" spans="2:6" x14ac:dyDescent="0.2">
      <c r="C103" s="25" t="s">
        <v>131</v>
      </c>
      <c r="D103" s="21">
        <v>9.5</v>
      </c>
    </row>
    <row r="104" spans="2:6" x14ac:dyDescent="0.2">
      <c r="C104" t="s">
        <v>77</v>
      </c>
      <c r="D104">
        <v>0.5</v>
      </c>
    </row>
    <row r="105" spans="2:6" ht="16" thickBot="1" x14ac:dyDescent="0.25">
      <c r="C105" s="26" t="s">
        <v>117</v>
      </c>
      <c r="D105" s="22">
        <v>10</v>
      </c>
      <c r="F105" s="23" t="s">
        <v>132</v>
      </c>
    </row>
    <row r="106" spans="2:6" ht="16" thickTop="1" x14ac:dyDescent="0.2"/>
    <row r="107" spans="2:6" x14ac:dyDescent="0.2">
      <c r="C107" t="s">
        <v>101</v>
      </c>
    </row>
    <row r="108" spans="2:6" x14ac:dyDescent="0.2">
      <c r="C108" t="s">
        <v>118</v>
      </c>
    </row>
    <row r="109" spans="2:6" ht="16" thickBot="1" x14ac:dyDescent="0.25">
      <c r="C109" s="24" t="s">
        <v>103</v>
      </c>
      <c r="D109" s="24" t="s">
        <v>119</v>
      </c>
      <c r="F109" t="s">
        <v>120</v>
      </c>
    </row>
    <row r="110" spans="2:6" ht="16" thickTop="1" x14ac:dyDescent="0.2"/>
    <row r="112" spans="2:6" x14ac:dyDescent="0.2">
      <c r="B112" s="9" t="s">
        <v>133</v>
      </c>
    </row>
    <row r="113" spans="3:3" x14ac:dyDescent="0.2">
      <c r="C113" t="s">
        <v>134</v>
      </c>
    </row>
    <row r="114" spans="3:3" x14ac:dyDescent="0.2">
      <c r="C114" s="21" t="s">
        <v>135</v>
      </c>
    </row>
    <row r="115" spans="3:3" x14ac:dyDescent="0.2">
      <c r="C115" t="s">
        <v>80</v>
      </c>
    </row>
    <row r="116" spans="3:3" x14ac:dyDescent="0.2">
      <c r="C116" t="s">
        <v>136</v>
      </c>
    </row>
    <row r="117" spans="3:3" x14ac:dyDescent="0.2">
      <c r="C117" t="s">
        <v>137</v>
      </c>
    </row>
    <row r="118" spans="3:3" x14ac:dyDescent="0.2">
      <c r="C118" t="s">
        <v>138</v>
      </c>
    </row>
    <row r="119" spans="3:3" ht="16" thickBot="1" x14ac:dyDescent="0.25">
      <c r="C119" s="22" t="s">
        <v>139</v>
      </c>
    </row>
    <row r="120" spans="3:3" ht="16" thickTop="1" x14ac:dyDescent="0.2"/>
    <row r="121" spans="3:3" x14ac:dyDescent="0.2">
      <c r="C121" s="9" t="s">
        <v>140</v>
      </c>
    </row>
    <row r="122" spans="3:3" x14ac:dyDescent="0.2">
      <c r="C122" t="s">
        <v>141</v>
      </c>
    </row>
    <row r="124" spans="3:3" x14ac:dyDescent="0.2">
      <c r="C124" s="9" t="s">
        <v>142</v>
      </c>
    </row>
    <row r="125" spans="3:3" x14ac:dyDescent="0.2">
      <c r="C125" t="s">
        <v>143</v>
      </c>
    </row>
    <row r="127" spans="3:3" x14ac:dyDescent="0.2">
      <c r="C127" s="9" t="s">
        <v>144</v>
      </c>
    </row>
    <row r="128" spans="3:3" x14ac:dyDescent="0.2">
      <c r="C128" t="s">
        <v>145</v>
      </c>
    </row>
    <row r="129" spans="2:6" x14ac:dyDescent="0.2">
      <c r="C129" t="s">
        <v>146</v>
      </c>
    </row>
    <row r="130" spans="2:6" x14ac:dyDescent="0.2">
      <c r="C130" s="21" t="s">
        <v>147</v>
      </c>
      <c r="D130" s="21"/>
      <c r="E130" t="s">
        <v>148</v>
      </c>
    </row>
    <row r="131" spans="2:6" ht="16" thickBot="1" x14ac:dyDescent="0.25">
      <c r="C131" s="22" t="s">
        <v>149</v>
      </c>
      <c r="D131" s="22"/>
    </row>
    <row r="132" spans="2:6" ht="16" thickTop="1" x14ac:dyDescent="0.2"/>
    <row r="133" spans="2:6" x14ac:dyDescent="0.2">
      <c r="B133" s="9" t="s">
        <v>150</v>
      </c>
    </row>
    <row r="136" spans="2:6" x14ac:dyDescent="0.2">
      <c r="D136" t="s">
        <v>79</v>
      </c>
    </row>
    <row r="137" spans="2:6" x14ac:dyDescent="0.2">
      <c r="C137" s="21" t="s">
        <v>151</v>
      </c>
      <c r="D137" s="21">
        <v>20</v>
      </c>
    </row>
    <row r="138" spans="2:6" ht="16" thickBot="1" x14ac:dyDescent="0.25">
      <c r="C138" s="22" t="s">
        <v>72</v>
      </c>
      <c r="D138" s="22">
        <v>24</v>
      </c>
      <c r="E138" t="s">
        <v>127</v>
      </c>
      <c r="F138" t="s">
        <v>128</v>
      </c>
    </row>
    <row r="139" spans="2:6" ht="16" thickTop="1" x14ac:dyDescent="0.2"/>
    <row r="140" spans="2:6" x14ac:dyDescent="0.2">
      <c r="C140" t="s">
        <v>83</v>
      </c>
    </row>
    <row r="141" spans="2:6" x14ac:dyDescent="0.2">
      <c r="C141" t="s">
        <v>84</v>
      </c>
    </row>
    <row r="142" spans="2:6" x14ac:dyDescent="0.2">
      <c r="C142" s="23" t="s">
        <v>152</v>
      </c>
    </row>
    <row r="143" spans="2:6" x14ac:dyDescent="0.2">
      <c r="C143" t="s">
        <v>84</v>
      </c>
      <c r="F143" t="s">
        <v>153</v>
      </c>
    </row>
    <row r="144" spans="2:6" x14ac:dyDescent="0.2">
      <c r="C144" s="23" t="s">
        <v>152</v>
      </c>
    </row>
    <row r="145" spans="2:4" x14ac:dyDescent="0.2">
      <c r="C145" t="s">
        <v>84</v>
      </c>
    </row>
    <row r="146" spans="2:4" x14ac:dyDescent="0.2">
      <c r="C146" t="s">
        <v>86</v>
      </c>
    </row>
    <row r="147" spans="2:4" x14ac:dyDescent="0.2">
      <c r="C147" t="s">
        <v>87</v>
      </c>
    </row>
    <row r="148" spans="2:4" x14ac:dyDescent="0.2">
      <c r="C148" t="s">
        <v>154</v>
      </c>
    </row>
    <row r="149" spans="2:4" x14ac:dyDescent="0.2">
      <c r="C149" t="s">
        <v>155</v>
      </c>
    </row>
    <row r="150" spans="2:4" x14ac:dyDescent="0.2">
      <c r="C150" t="s">
        <v>156</v>
      </c>
    </row>
    <row r="151" spans="2:4" x14ac:dyDescent="0.2">
      <c r="C151" t="s">
        <v>157</v>
      </c>
    </row>
    <row r="152" spans="2:4" x14ac:dyDescent="0.2">
      <c r="C152" t="s">
        <v>158</v>
      </c>
    </row>
    <row r="153" spans="2:4" x14ac:dyDescent="0.2">
      <c r="C153" t="s">
        <v>159</v>
      </c>
    </row>
    <row r="154" spans="2:4" x14ac:dyDescent="0.2">
      <c r="C154" t="s">
        <v>160</v>
      </c>
    </row>
    <row r="155" spans="2:4" x14ac:dyDescent="0.2">
      <c r="C155" t="s">
        <v>161</v>
      </c>
      <c r="D155" t="s">
        <v>162</v>
      </c>
    </row>
    <row r="157" spans="2:4" x14ac:dyDescent="0.2">
      <c r="C157" t="s">
        <v>163</v>
      </c>
    </row>
    <row r="158" spans="2:4" x14ac:dyDescent="0.2">
      <c r="C158" t="s">
        <v>164</v>
      </c>
    </row>
    <row r="160" spans="2:4" x14ac:dyDescent="0.2">
      <c r="B160" s="9" t="s">
        <v>165</v>
      </c>
    </row>
    <row r="162" spans="3:5" x14ac:dyDescent="0.2">
      <c r="C162" t="s">
        <v>166</v>
      </c>
    </row>
    <row r="163" spans="3:5" x14ac:dyDescent="0.2">
      <c r="C163" s="21" t="s">
        <v>167</v>
      </c>
      <c r="D163" s="21" t="s">
        <v>168</v>
      </c>
    </row>
    <row r="164" spans="3:5" ht="16" thickBot="1" x14ac:dyDescent="0.25">
      <c r="C164" s="22" t="s">
        <v>169</v>
      </c>
      <c r="D164" s="22" t="s">
        <v>170</v>
      </c>
    </row>
    <row r="165" spans="3:5" ht="16" thickTop="1" x14ac:dyDescent="0.2">
      <c r="C165" t="s">
        <v>12</v>
      </c>
      <c r="D165" t="s">
        <v>171</v>
      </c>
    </row>
    <row r="167" spans="3:5" x14ac:dyDescent="0.2">
      <c r="C167" t="s">
        <v>172</v>
      </c>
    </row>
    <row r="168" spans="3:5" x14ac:dyDescent="0.2">
      <c r="C168" s="21" t="s">
        <v>138</v>
      </c>
      <c r="D168" s="21" t="s">
        <v>100</v>
      </c>
    </row>
    <row r="169" spans="3:5" x14ac:dyDescent="0.2">
      <c r="C169" t="s">
        <v>139</v>
      </c>
      <c r="D169" t="s">
        <v>173</v>
      </c>
    </row>
    <row r="170" spans="3:5" ht="16" thickBot="1" x14ac:dyDescent="0.25">
      <c r="C170" s="27" t="s">
        <v>174</v>
      </c>
      <c r="D170" s="22" t="s">
        <v>175</v>
      </c>
      <c r="E170" t="s">
        <v>176</v>
      </c>
    </row>
    <row r="171" spans="3:5" ht="16" thickTop="1" x14ac:dyDescent="0.2">
      <c r="C171" t="s">
        <v>12</v>
      </c>
      <c r="D171" t="s">
        <v>177</v>
      </c>
    </row>
    <row r="173" spans="3:5" x14ac:dyDescent="0.2">
      <c r="C173" t="s">
        <v>178</v>
      </c>
    </row>
    <row r="174" spans="3:5" x14ac:dyDescent="0.2">
      <c r="C174" t="s">
        <v>179</v>
      </c>
    </row>
    <row r="176" spans="3:5" x14ac:dyDescent="0.2">
      <c r="C176" t="s">
        <v>180</v>
      </c>
    </row>
    <row r="177" spans="2:4" x14ac:dyDescent="0.2">
      <c r="C177" t="s">
        <v>181</v>
      </c>
    </row>
    <row r="178" spans="2:4" x14ac:dyDescent="0.2">
      <c r="C178" t="s">
        <v>182</v>
      </c>
    </row>
    <row r="180" spans="2:4" x14ac:dyDescent="0.2">
      <c r="C180" t="s">
        <v>183</v>
      </c>
    </row>
    <row r="182" spans="2:4" x14ac:dyDescent="0.2">
      <c r="C182" t="s">
        <v>184</v>
      </c>
    </row>
    <row r="183" spans="2:4" x14ac:dyDescent="0.2">
      <c r="C183" t="s">
        <v>185</v>
      </c>
    </row>
    <row r="184" spans="2:4" x14ac:dyDescent="0.2">
      <c r="C184" t="s">
        <v>186</v>
      </c>
    </row>
    <row r="187" spans="2:4" x14ac:dyDescent="0.2">
      <c r="B187" s="9" t="s">
        <v>187</v>
      </c>
    </row>
    <row r="189" spans="2:4" x14ac:dyDescent="0.2">
      <c r="C189" t="s">
        <v>188</v>
      </c>
    </row>
    <row r="190" spans="2:4" x14ac:dyDescent="0.2">
      <c r="C190" t="s">
        <v>189</v>
      </c>
    </row>
    <row r="191" spans="2:4" x14ac:dyDescent="0.2">
      <c r="C191" s="21" t="s">
        <v>190</v>
      </c>
      <c r="D191" s="21" t="s">
        <v>191</v>
      </c>
    </row>
    <row r="192" spans="2:4" ht="16" thickBot="1" x14ac:dyDescent="0.25">
      <c r="C192" s="22" t="s">
        <v>192</v>
      </c>
      <c r="D192" s="22" t="s">
        <v>193</v>
      </c>
    </row>
    <row r="193" spans="3:3" ht="16" thickTop="1" x14ac:dyDescent="0.2"/>
    <row r="194" spans="3:3" x14ac:dyDescent="0.2">
      <c r="C194" t="s">
        <v>194</v>
      </c>
    </row>
  </sheetData>
  <phoneticPr fontId="1"/>
  <pageMargins left="0.7" right="0.7" top="0.75" bottom="0.75" header="0.3" footer="0.3"/>
  <pageSetup paperSize="9" scale="2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64B8-867B-4627-9DA5-0F8EFC6CE8D0}">
  <dimension ref="A2:D33"/>
  <sheetViews>
    <sheetView tabSelected="1" topLeftCell="A11" workbookViewId="0">
      <selection activeCell="G38" sqref="G38"/>
    </sheetView>
  </sheetViews>
  <sheetFormatPr baseColWidth="10" defaultColWidth="8.83203125" defaultRowHeight="15" x14ac:dyDescent="0.2"/>
  <sheetData>
    <row r="2" spans="1:2" x14ac:dyDescent="0.2">
      <c r="A2" t="s">
        <v>202</v>
      </c>
    </row>
    <row r="3" spans="1:2" x14ac:dyDescent="0.2">
      <c r="A3" t="s">
        <v>203</v>
      </c>
      <c r="B3" t="s">
        <v>205</v>
      </c>
    </row>
    <row r="4" spans="1:2" x14ac:dyDescent="0.2">
      <c r="A4" t="s">
        <v>204</v>
      </c>
      <c r="B4" t="s">
        <v>206</v>
      </c>
    </row>
    <row r="6" spans="1:2" x14ac:dyDescent="0.2">
      <c r="A6" t="s">
        <v>207</v>
      </c>
    </row>
    <row r="7" spans="1:2" x14ac:dyDescent="0.2">
      <c r="B7" t="s">
        <v>208</v>
      </c>
    </row>
    <row r="9" spans="1:2" x14ac:dyDescent="0.2">
      <c r="A9" t="s">
        <v>209</v>
      </c>
    </row>
    <row r="10" spans="1:2" x14ac:dyDescent="0.2">
      <c r="B10" s="29" t="s">
        <v>213</v>
      </c>
    </row>
    <row r="11" spans="1:2" x14ac:dyDescent="0.2">
      <c r="B11" t="s">
        <v>210</v>
      </c>
    </row>
    <row r="12" spans="1:2" x14ac:dyDescent="0.2">
      <c r="B12" t="s">
        <v>211</v>
      </c>
    </row>
    <row r="13" spans="1:2" x14ac:dyDescent="0.2">
      <c r="B13" t="s">
        <v>212</v>
      </c>
    </row>
    <row r="15" spans="1:2" x14ac:dyDescent="0.2">
      <c r="B15" s="29" t="s">
        <v>214</v>
      </c>
    </row>
    <row r="16" spans="1:2" x14ac:dyDescent="0.2">
      <c r="B16" t="s">
        <v>215</v>
      </c>
    </row>
    <row r="17" spans="2:4" x14ac:dyDescent="0.2">
      <c r="B17" t="s">
        <v>217</v>
      </c>
    </row>
    <row r="18" spans="2:4" x14ac:dyDescent="0.2">
      <c r="B18" t="s">
        <v>220</v>
      </c>
    </row>
    <row r="19" spans="2:4" x14ac:dyDescent="0.2">
      <c r="B19" t="s">
        <v>222</v>
      </c>
    </row>
    <row r="20" spans="2:4" ht="16" x14ac:dyDescent="0.2">
      <c r="B20" s="41" t="s">
        <v>223</v>
      </c>
      <c r="C20" s="41" t="s">
        <v>224</v>
      </c>
    </row>
    <row r="21" spans="2:4" x14ac:dyDescent="0.2">
      <c r="B21" s="42" t="s">
        <v>225</v>
      </c>
      <c r="C21" s="43" t="s">
        <v>226</v>
      </c>
    </row>
    <row r="22" spans="2:4" x14ac:dyDescent="0.2">
      <c r="B22" s="42" t="s">
        <v>227</v>
      </c>
      <c r="C22" s="42" t="s">
        <v>228</v>
      </c>
    </row>
    <row r="23" spans="2:4" x14ac:dyDescent="0.2">
      <c r="B23" s="42" t="s">
        <v>229</v>
      </c>
      <c r="C23" s="42">
        <v>2000</v>
      </c>
    </row>
    <row r="24" spans="2:4" x14ac:dyDescent="0.2">
      <c r="B24" s="42" t="s">
        <v>230</v>
      </c>
      <c r="C24" s="42">
        <v>1000</v>
      </c>
    </row>
    <row r="25" spans="2:4" ht="24" x14ac:dyDescent="0.2">
      <c r="B25" s="42" t="s">
        <v>231</v>
      </c>
      <c r="C25" s="42">
        <v>10</v>
      </c>
    </row>
    <row r="26" spans="2:4" x14ac:dyDescent="0.2">
      <c r="B26" s="42" t="s">
        <v>232</v>
      </c>
      <c r="C26" s="42">
        <v>4</v>
      </c>
    </row>
    <row r="27" spans="2:4" ht="24" x14ac:dyDescent="0.2">
      <c r="B27" s="42" t="s">
        <v>233</v>
      </c>
      <c r="C27" s="42" t="s">
        <v>236</v>
      </c>
    </row>
    <row r="28" spans="2:4" x14ac:dyDescent="0.2">
      <c r="B28" s="42" t="s">
        <v>234</v>
      </c>
      <c r="C28" s="42" t="s">
        <v>221</v>
      </c>
    </row>
    <row r="29" spans="2:4" ht="24" x14ac:dyDescent="0.2">
      <c r="B29" s="42" t="s">
        <v>235</v>
      </c>
      <c r="C29" s="42">
        <v>0</v>
      </c>
      <c r="D29" t="s">
        <v>237</v>
      </c>
    </row>
    <row r="31" spans="2:4" x14ac:dyDescent="0.2">
      <c r="B31" s="29" t="s">
        <v>216</v>
      </c>
    </row>
    <row r="32" spans="2:4" x14ac:dyDescent="0.2">
      <c r="B32" t="s">
        <v>219</v>
      </c>
    </row>
    <row r="33" spans="2:2" x14ac:dyDescent="0.2">
      <c r="B33" t="s">
        <v>218</v>
      </c>
    </row>
  </sheetData>
  <phoneticPr fontId="1"/>
  <hyperlinks>
    <hyperlink ref="B20" r:id="rId1" display="static://localhost/C:/Users/tatsu/epi2melabs/instances/wf-16s_01KAZ64ANH8JS8TA6RF8A4GN5G/output/wf-16s-report.html" xr:uid="{269CA2D1-7994-49BD-8E4F-C179FF5D74F9}"/>
    <hyperlink ref="C20" r:id="rId2" display="static://localhost/C:/Users/tatsu/epi2melabs/instances/wf-16s_01KAZ64ANH8JS8TA6RF8A4GN5G/output/wf-16s-report.html" xr:uid="{7A7B1DD3-B6DC-46AF-A9BE-C75DAFCC0A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PCR</vt:lpstr>
      <vt:lpstr>Nanopore</vt:lpstr>
      <vt:lpstr>post sequence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TATSUKI SUGI</dc:creator>
  <cp:lastModifiedBy>TATSUKI SUGI</cp:lastModifiedBy>
  <cp:lastPrinted>2025-11-26T04:19:20Z</cp:lastPrinted>
  <dcterms:created xsi:type="dcterms:W3CDTF">2015-06-05T18:19:34Z</dcterms:created>
  <dcterms:modified xsi:type="dcterms:W3CDTF">2025-12-04T13:54:36Z</dcterms:modified>
</cp:coreProperties>
</file>